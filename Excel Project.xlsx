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Mohamed Khaled\Desktop\"/>
    </mc:Choice>
  </mc:AlternateContent>
  <xr:revisionPtr revIDLastSave="0" documentId="13_ncr:1_{2F553D80-AF4D-4C5D-A847-C81E699C1BCA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Data Before" sheetId="1" r:id="rId1"/>
    <sheet name="Data After" sheetId="2" r:id="rId2"/>
    <sheet name="Analysis" sheetId="4" r:id="rId3"/>
  </sheets>
  <definedNames>
    <definedName name="_xlnm._FilterDatabase" localSheetId="1" hidden="1">'Data After'!#REF!</definedName>
  </definedNames>
  <calcPr calcId="191029"/>
  <pivotCaches>
    <pivotCache cacheId="3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N2" i="4" l="1"/>
  <c r="N3" i="4" a="1"/>
  <c r="N3" i="4" s="1"/>
  <c r="N5" i="4"/>
  <c r="N4" i="4" a="1"/>
  <c r="N4" i="4" s="1"/>
  <c r="N6" i="4"/>
  <c r="N7" i="4"/>
  <c r="N8" i="4" a="1"/>
  <c r="N8" i="4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<sst xmlns="http://schemas.openxmlformats.org/spreadsheetml/2006/main" count="1279" uniqueCount="387">
  <si>
    <t>Employee_ID</t>
  </si>
  <si>
    <t>Full_Name</t>
  </si>
  <si>
    <t>Department</t>
  </si>
  <si>
    <t>Hire_Date</t>
  </si>
  <si>
    <t>Salary</t>
  </si>
  <si>
    <t>Performance_Score</t>
  </si>
  <si>
    <t>Total_Sales_2025</t>
  </si>
  <si>
    <t>Remote_Status</t>
  </si>
  <si>
    <t>E101</t>
  </si>
  <si>
    <t>John Smith</t>
  </si>
  <si>
    <t>Sales</t>
  </si>
  <si>
    <t>$65,000</t>
  </si>
  <si>
    <t>Excellent</t>
  </si>
  <si>
    <t>Remote</t>
  </si>
  <si>
    <t>E102</t>
  </si>
  <si>
    <t>jane doe</t>
  </si>
  <si>
    <t>SALS</t>
  </si>
  <si>
    <t>01/20/2023</t>
  </si>
  <si>
    <t>62k</t>
  </si>
  <si>
    <t>Good</t>
  </si>
  <si>
    <t>Office</t>
  </si>
  <si>
    <t>E103</t>
  </si>
  <si>
    <t xml:space="preserve"> Robert Brown </t>
  </si>
  <si>
    <t>Sales Dept</t>
  </si>
  <si>
    <t>Jan 12 2023</t>
  </si>
  <si>
    <t>Satisfactory</t>
  </si>
  <si>
    <t>E104</t>
  </si>
  <si>
    <t>Alice Johnson</t>
  </si>
  <si>
    <t>Marketing</t>
  </si>
  <si>
    <t>$72,000</t>
  </si>
  <si>
    <t>Excllent</t>
  </si>
  <si>
    <t>No</t>
  </si>
  <si>
    <t>E105</t>
  </si>
  <si>
    <t>MICHAEL WILSON</t>
  </si>
  <si>
    <t>Mktg</t>
  </si>
  <si>
    <t>11/05/22</t>
  </si>
  <si>
    <t>70k</t>
  </si>
  <si>
    <t>E106</t>
  </si>
  <si>
    <t>Sarah-Jane Smith</t>
  </si>
  <si>
    <t>05-11-2022</t>
  </si>
  <si>
    <t>5/5</t>
  </si>
  <si>
    <t>Home-based</t>
  </si>
  <si>
    <t>E107</t>
  </si>
  <si>
    <t>James Bond</t>
  </si>
  <si>
    <t>IT</t>
  </si>
  <si>
    <t>E108</t>
  </si>
  <si>
    <t>emily davis</t>
  </si>
  <si>
    <t>Info Tech</t>
  </si>
  <si>
    <t>06/10/21</t>
  </si>
  <si>
    <t>92k</t>
  </si>
  <si>
    <t>E109</t>
  </si>
  <si>
    <t>Robert Brown</t>
  </si>
  <si>
    <t>$68,000</t>
  </si>
  <si>
    <t>E110</t>
  </si>
  <si>
    <t>Chris Evans</t>
  </si>
  <si>
    <t>HR</t>
  </si>
  <si>
    <t>Poor</t>
  </si>
  <si>
    <t>E111</t>
  </si>
  <si>
    <t>Jessica Alba</t>
  </si>
  <si>
    <t>Human Resources</t>
  </si>
  <si>
    <t>03/25/20</t>
  </si>
  <si>
    <t>58k</t>
  </si>
  <si>
    <t>E112</t>
  </si>
  <si>
    <t>David Miller</t>
  </si>
  <si>
    <t>$60,000</t>
  </si>
  <si>
    <t>E113</t>
  </si>
  <si>
    <t>Brie Larson</t>
  </si>
  <si>
    <t>14-05-2023</t>
  </si>
  <si>
    <t>61k</t>
  </si>
  <si>
    <t>E114</t>
  </si>
  <si>
    <t>Tom Hardy</t>
  </si>
  <si>
    <t>E115</t>
  </si>
  <si>
    <t>scarlett johansson</t>
  </si>
  <si>
    <t>08/19/22</t>
  </si>
  <si>
    <t>77k</t>
  </si>
  <si>
    <t>Yes</t>
  </si>
  <si>
    <t>E116</t>
  </si>
  <si>
    <t>Mark Ruffalo</t>
  </si>
  <si>
    <t>E117</t>
  </si>
  <si>
    <t>Paul Rudd</t>
  </si>
  <si>
    <t>12-01-2021</t>
  </si>
  <si>
    <t>85k</t>
  </si>
  <si>
    <t>E118</t>
  </si>
  <si>
    <t>Jeremy Renner</t>
  </si>
  <si>
    <t>E119</t>
  </si>
  <si>
    <t>Elizabeth Olsen</t>
  </si>
  <si>
    <t>09/30/23</t>
  </si>
  <si>
    <t>60k</t>
  </si>
  <si>
    <t>E120</t>
  </si>
  <si>
    <t>Chadwick Boseman</t>
  </si>
  <si>
    <t>E121</t>
  </si>
  <si>
    <t>Benedict Cumberbatch</t>
  </si>
  <si>
    <t>10/10/19</t>
  </si>
  <si>
    <t>105k</t>
  </si>
  <si>
    <t>E122</t>
  </si>
  <si>
    <t>Tom Holland</t>
  </si>
  <si>
    <t>50k</t>
  </si>
  <si>
    <t>E123</t>
  </si>
  <si>
    <t>Zendaya Coleman</t>
  </si>
  <si>
    <t>05/01/24</t>
  </si>
  <si>
    <t>$52,000</t>
  </si>
  <si>
    <t>E124</t>
  </si>
  <si>
    <t>Idris Elba</t>
  </si>
  <si>
    <t>E125</t>
  </si>
  <si>
    <t>Henry Cavill</t>
  </si>
  <si>
    <t>28-02-2022</t>
  </si>
  <si>
    <t>80k</t>
  </si>
  <si>
    <t>E126</t>
  </si>
  <si>
    <t>Gal Gadot</t>
  </si>
  <si>
    <t>E127</t>
  </si>
  <si>
    <t>Jason Momoa</t>
  </si>
  <si>
    <t>12/04/21</t>
  </si>
  <si>
    <t>95k</t>
  </si>
  <si>
    <t>E128</t>
  </si>
  <si>
    <t>Ben Affleck</t>
  </si>
  <si>
    <t>E129</t>
  </si>
  <si>
    <t>Christian Bale</t>
  </si>
  <si>
    <t>07/20/18</t>
  </si>
  <si>
    <t>125k</t>
  </si>
  <si>
    <t>E130</t>
  </si>
  <si>
    <t>Anne Hathaway</t>
  </si>
  <si>
    <t>E131</t>
  </si>
  <si>
    <t>Matthew McConaughey</t>
  </si>
  <si>
    <t>11/11/23</t>
  </si>
  <si>
    <t>65k</t>
  </si>
  <si>
    <t>E132</t>
  </si>
  <si>
    <t>Leonardo DiCaprio</t>
  </si>
  <si>
    <t>130k</t>
  </si>
  <si>
    <t>E133</t>
  </si>
  <si>
    <t>Brad Pitt</t>
  </si>
  <si>
    <t>20-05-2020</t>
  </si>
  <si>
    <t>E134</t>
  </si>
  <si>
    <t>Matt Damon</t>
  </si>
  <si>
    <t>E135</t>
  </si>
  <si>
    <t>George Clooney</t>
  </si>
  <si>
    <t>03/15/19</t>
  </si>
  <si>
    <t>115k</t>
  </si>
  <si>
    <t>E136</t>
  </si>
  <si>
    <t>Julia Roberts</t>
  </si>
  <si>
    <t>E137</t>
  </si>
  <si>
    <t>Meryl Streep</t>
  </si>
  <si>
    <t>12/05/17</t>
  </si>
  <si>
    <t>145k</t>
  </si>
  <si>
    <t>E138</t>
  </si>
  <si>
    <t>Denzel Washington</t>
  </si>
  <si>
    <t>88k</t>
  </si>
  <si>
    <t>E139</t>
  </si>
  <si>
    <t>Tom Cruise</t>
  </si>
  <si>
    <t>30-06-2022</t>
  </si>
  <si>
    <t>E140</t>
  </si>
  <si>
    <t>Will Smith</t>
  </si>
  <si>
    <t>E141</t>
  </si>
  <si>
    <t>Margot Robbie</t>
  </si>
  <si>
    <t>12/09/21</t>
  </si>
  <si>
    <t>87k</t>
  </si>
  <si>
    <t>E142</t>
  </si>
  <si>
    <t>Ryan Gosling</t>
  </si>
  <si>
    <t>E143</t>
  </si>
  <si>
    <t>Emma Stone</t>
  </si>
  <si>
    <t>20/01/22</t>
  </si>
  <si>
    <t>82k</t>
  </si>
  <si>
    <t>E144</t>
  </si>
  <si>
    <t>Hugh Jackman</t>
  </si>
  <si>
    <t>150k</t>
  </si>
  <si>
    <t>E145</t>
  </si>
  <si>
    <t>Nicole Kidman</t>
  </si>
  <si>
    <t>14/08/16</t>
  </si>
  <si>
    <t>E146</t>
  </si>
  <si>
    <t>Russell Crowe</t>
  </si>
  <si>
    <t>E147</t>
  </si>
  <si>
    <t>Cate Blanchett</t>
  </si>
  <si>
    <t>01/04/23</t>
  </si>
  <si>
    <t>63k</t>
  </si>
  <si>
    <t>E148</t>
  </si>
  <si>
    <t>Joaquin Phoenix</t>
  </si>
  <si>
    <t>100k</t>
  </si>
  <si>
    <t>E149</t>
  </si>
  <si>
    <t>Charlize Theron</t>
  </si>
  <si>
    <t>31-10-2020</t>
  </si>
  <si>
    <t>E150</t>
  </si>
  <si>
    <t>Daniel Craig</t>
  </si>
  <si>
    <t>E151</t>
  </si>
  <si>
    <t>Jude Law</t>
  </si>
  <si>
    <t>18/05/21</t>
  </si>
  <si>
    <t>E152</t>
  </si>
  <si>
    <t>Keanu Reeves</t>
  </si>
  <si>
    <t>75k</t>
  </si>
  <si>
    <t>E153</t>
  </si>
  <si>
    <t>Sandra Bullock</t>
  </si>
  <si>
    <t>12/12/22</t>
  </si>
  <si>
    <t>E154</t>
  </si>
  <si>
    <t>Johnny Depp</t>
  </si>
  <si>
    <t>120k</t>
  </si>
  <si>
    <t>E155</t>
  </si>
  <si>
    <t>Penelope Cruz</t>
  </si>
  <si>
    <t>25-02-2019</t>
  </si>
  <si>
    <t>E156</t>
  </si>
  <si>
    <t>Robert Downey Jr</t>
  </si>
  <si>
    <t>140k</t>
  </si>
  <si>
    <t>E157</t>
  </si>
  <si>
    <t>Gwyneth Paltrow</t>
  </si>
  <si>
    <t>04/04/18</t>
  </si>
  <si>
    <t>E158</t>
  </si>
  <si>
    <t>Chris Pratt</t>
  </si>
  <si>
    <t>E159</t>
  </si>
  <si>
    <t>Zoe Saldana</t>
  </si>
  <si>
    <t>07/07/23</t>
  </si>
  <si>
    <t>E160</t>
  </si>
  <si>
    <t>Vin Diesel</t>
  </si>
  <si>
    <t>170k</t>
  </si>
  <si>
    <t>E161</t>
  </si>
  <si>
    <t>Michelle Rodriguez</t>
  </si>
  <si>
    <t>01/01/15</t>
  </si>
  <si>
    <t>E162</t>
  </si>
  <si>
    <t>Dwayne Johnson</t>
  </si>
  <si>
    <t>E163</t>
  </si>
  <si>
    <t>Jason Statham</t>
  </si>
  <si>
    <t>20-03-2021</t>
  </si>
  <si>
    <t>E164</t>
  </si>
  <si>
    <t>E165</t>
  </si>
  <si>
    <t>Emily Blunt</t>
  </si>
  <si>
    <t>10/31/20</t>
  </si>
  <si>
    <t>102k</t>
  </si>
  <si>
    <t>E166</t>
  </si>
  <si>
    <t>John Krasinski</t>
  </si>
  <si>
    <t>E167</t>
  </si>
  <si>
    <t>Jenna Ortega</t>
  </si>
  <si>
    <t>08/08/22</t>
  </si>
  <si>
    <t>E168</t>
  </si>
  <si>
    <t>Pedro Pascal</t>
  </si>
  <si>
    <t>66k</t>
  </si>
  <si>
    <t>E169</t>
  </si>
  <si>
    <t>Bella Ramsey</t>
  </si>
  <si>
    <t>14/02/23</t>
  </si>
  <si>
    <t>E170</t>
  </si>
  <si>
    <t>Oscar Isaac</t>
  </si>
  <si>
    <t>E171</t>
  </si>
  <si>
    <t>Florence Pugh</t>
  </si>
  <si>
    <t>30-05-2019</t>
  </si>
  <si>
    <t>E172</t>
  </si>
  <si>
    <t>Austin Butler</t>
  </si>
  <si>
    <t>48k</t>
  </si>
  <si>
    <t>E173</t>
  </si>
  <si>
    <t>Anya Taylor-Joy</t>
  </si>
  <si>
    <t>20/02/24</t>
  </si>
  <si>
    <t>E174</t>
  </si>
  <si>
    <t>Timothee Chalamet</t>
  </si>
  <si>
    <t>55k</t>
  </si>
  <si>
    <t>E175</t>
  </si>
  <si>
    <t>Zendaya</t>
  </si>
  <si>
    <t>E176</t>
  </si>
  <si>
    <t>E177</t>
  </si>
  <si>
    <t>Cillian Murphy</t>
  </si>
  <si>
    <t>110k</t>
  </si>
  <si>
    <t>E178</t>
  </si>
  <si>
    <t>E179</t>
  </si>
  <si>
    <t>E180</t>
  </si>
  <si>
    <t>Viola Davis</t>
  </si>
  <si>
    <t>155k</t>
  </si>
  <si>
    <t>E181</t>
  </si>
  <si>
    <t>E182</t>
  </si>
  <si>
    <t>Adam Driver</t>
  </si>
  <si>
    <t>84k</t>
  </si>
  <si>
    <t>E183</t>
  </si>
  <si>
    <t>Andrew Garfield</t>
  </si>
  <si>
    <t>18/04/22</t>
  </si>
  <si>
    <t>E184</t>
  </si>
  <si>
    <t>Tobey Maguire</t>
  </si>
  <si>
    <t>E185</t>
  </si>
  <si>
    <t>E186</t>
  </si>
  <si>
    <t>Natalie Portman</t>
  </si>
  <si>
    <t>118k</t>
  </si>
  <si>
    <t>E187</t>
  </si>
  <si>
    <t>Keira Knightley</t>
  </si>
  <si>
    <t>09/09/19</t>
  </si>
  <si>
    <t>E188</t>
  </si>
  <si>
    <t>E189</t>
  </si>
  <si>
    <t>Gary Oldman</t>
  </si>
  <si>
    <t>E190</t>
  </si>
  <si>
    <t>Heath Ledger</t>
  </si>
  <si>
    <t>01/01/21</t>
  </si>
  <si>
    <t>E191</t>
  </si>
  <si>
    <t>Jack Nicholson</t>
  </si>
  <si>
    <t>E192</t>
  </si>
  <si>
    <t>Morgan Freeman</t>
  </si>
  <si>
    <t>05/05/18</t>
  </si>
  <si>
    <t>E193</t>
  </si>
  <si>
    <t>Samuel L Jackson</t>
  </si>
  <si>
    <t>E194</t>
  </si>
  <si>
    <t>Anthony Hopkins</t>
  </si>
  <si>
    <t>160k</t>
  </si>
  <si>
    <t>E195</t>
  </si>
  <si>
    <t>Al Pacino</t>
  </si>
  <si>
    <t>31/10/16</t>
  </si>
  <si>
    <t>E196</t>
  </si>
  <si>
    <t>Robert De Niro</t>
  </si>
  <si>
    <t>180k</t>
  </si>
  <si>
    <t>E197</t>
  </si>
  <si>
    <t>Joe Pesci</t>
  </si>
  <si>
    <t>08/08/15</t>
  </si>
  <si>
    <t>E198</t>
  </si>
  <si>
    <t>E199</t>
  </si>
  <si>
    <t>Kate Winslet</t>
  </si>
  <si>
    <t>E200</t>
  </si>
  <si>
    <t>Sigourney Weaver</t>
  </si>
  <si>
    <t>20/11/21</t>
  </si>
  <si>
    <t>Employee Id</t>
  </si>
  <si>
    <t>Full Name</t>
  </si>
  <si>
    <t>Hire Date</t>
  </si>
  <si>
    <t>Performance Score</t>
  </si>
  <si>
    <t>Total Sales 2025</t>
  </si>
  <si>
    <t>Remote Status</t>
  </si>
  <si>
    <t>Jane Doe</t>
  </si>
  <si>
    <t>Michael Wilson</t>
  </si>
  <si>
    <t>Emily Davis</t>
  </si>
  <si>
    <t>Scarlett Johansson</t>
  </si>
  <si>
    <t>Matthew Mcconaughey</t>
  </si>
  <si>
    <t>Leonardo Dicaprio</t>
  </si>
  <si>
    <t>Okay</t>
  </si>
  <si>
    <t>Great</t>
  </si>
  <si>
    <t>05/11/2022</t>
  </si>
  <si>
    <t>11/05/2022</t>
  </si>
  <si>
    <t>10/10/2019</t>
  </si>
  <si>
    <t>05/01/2024</t>
  </si>
  <si>
    <t>01/05/2024</t>
  </si>
  <si>
    <t>12/04/2021</t>
  </si>
  <si>
    <t>04/12/2021</t>
  </si>
  <si>
    <t>11/11/2023</t>
  </si>
  <si>
    <t>12/09/2021</t>
  </si>
  <si>
    <t>09/12/2021</t>
  </si>
  <si>
    <t>01/04/2023</t>
  </si>
  <si>
    <t>04/01/2023</t>
  </si>
  <si>
    <t>12/12/2022</t>
  </si>
  <si>
    <t>04/04/2018</t>
  </si>
  <si>
    <t>07/07/2023</t>
  </si>
  <si>
    <t>01/01/2015</t>
  </si>
  <si>
    <t>08/08/2022</t>
  </si>
  <si>
    <t>07/07/2020</t>
  </si>
  <si>
    <t>11/11/2016</t>
  </si>
  <si>
    <t>09/09/2019</t>
  </si>
  <si>
    <t>01/01/2021</t>
  </si>
  <si>
    <t>05/05/2018</t>
  </si>
  <si>
    <t>08/08/2015</t>
  </si>
  <si>
    <t>01/15/2023</t>
  </si>
  <si>
    <t>01/12/2023</t>
  </si>
  <si>
    <t>06/10/2021</t>
  </si>
  <si>
    <t>03/25/2020</t>
  </si>
  <si>
    <t>05/14/2023</t>
  </si>
  <si>
    <t>08/19/2022</t>
  </si>
  <si>
    <t>12/01/2021</t>
  </si>
  <si>
    <t>09/30/2023</t>
  </si>
  <si>
    <t>02/28/2022</t>
  </si>
  <si>
    <t>07/20/2018</t>
  </si>
  <si>
    <t>05/20/2020</t>
  </si>
  <si>
    <t>03/15/2019</t>
  </si>
  <si>
    <t>12/05/2017</t>
  </si>
  <si>
    <t>06/30/2022</t>
  </si>
  <si>
    <t>01/20/2022</t>
  </si>
  <si>
    <t>08/14/2016</t>
  </si>
  <si>
    <t>10/31/2020</t>
  </si>
  <si>
    <t>05/18/2021</t>
  </si>
  <si>
    <t>02/25/2019</t>
  </si>
  <si>
    <t>03/20/2021</t>
  </si>
  <si>
    <t>02/14/2023</t>
  </si>
  <si>
    <t>05/30/2019</t>
  </si>
  <si>
    <t>02/20/2024</t>
  </si>
  <si>
    <t>06/15/2023</t>
  </si>
  <si>
    <t>04/18/2022</t>
  </si>
  <si>
    <t>12/25/2021</t>
  </si>
  <si>
    <t>02/14/2017</t>
  </si>
  <si>
    <t>10/31/2016</t>
  </si>
  <si>
    <t>11/20/2021</t>
  </si>
  <si>
    <t>Grand Total</t>
  </si>
  <si>
    <t>Departments</t>
  </si>
  <si>
    <t>Department Size</t>
  </si>
  <si>
    <t>Total Amount Spent on Salaries</t>
  </si>
  <si>
    <t>Highest paid employee</t>
  </si>
  <si>
    <t>Average salary</t>
  </si>
  <si>
    <t>Average of Salary</t>
  </si>
  <si>
    <t>Highest sales by employee</t>
  </si>
  <si>
    <t>Total company sales</t>
  </si>
  <si>
    <t>Sales made</t>
  </si>
  <si>
    <t>Number of employees having Poor performance</t>
  </si>
  <si>
    <t>Number of employees hired in 2024</t>
  </si>
  <si>
    <t>Employees Hired</t>
  </si>
  <si>
    <t>Count Per Department</t>
  </si>
  <si>
    <t>Sales Per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</si>
</sst>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&quot;$&quot;#,##0"/>
    <numFmt numFmtId="166" formatCode="[$-F800]dddd\,\ mmmm\ dd\,\ yyyy"/>
    <numFmt numFmtId="167" formatCode="&quot;$&quot;#,##0.00"/>
  </numFmts>
  <fonts count="2" x14ac:knownFonts="1">
    <font>
      <sz val="10"/>
      <name val="Arial"/>
      <family val="2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164" fontId="1" fillId="0" borderId="0" xfId="0" applyNumberFormat="1" applyFont="1"/>
    <xf numFmtId="49" fontId="1" fillId="0" borderId="0" xfId="0" applyNumberFormat="1" applyFont="1"/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vertical="center"/>
    </xf>
    <xf numFmtId="49" fontId="1" fillId="0" borderId="0" xfId="0" applyNumberFormat="1" applyFont="1" applyAlignment="1">
      <alignment vertical="center"/>
    </xf>
    <xf numFmtId="165" fontId="1" fillId="0" borderId="0" xfId="0" applyNumberFormat="1" applyFont="1" applyAlignment="1">
      <alignment vertical="center"/>
    </xf>
    <xf numFmtId="165" fontId="1" fillId="0" borderId="0" xfId="0" applyNumberFormat="1" applyFont="1"/>
    <xf numFmtId="166" fontId="1" fillId="0" borderId="0" xfId="0" applyNumberFormat="1" applyFont="1" applyAlignment="1">
      <alignment vertical="center"/>
    </xf>
    <xf numFmtId="166" fontId="1" fillId="0" borderId="0" xfId="0" applyNumberFormat="1" applyFont="1"/>
    <xf numFmtId="0" fontId="1" fillId="0" borderId="0" xfId="0" pivotButton="1" applyFont="1"/>
    <xf numFmtId="0" fontId="1" fillId="0" borderId="0" xfId="0" applyFont="1" applyAlignment="1">
      <alignment horizontal="left"/>
    </xf>
    <xf numFmtId="167" fontId="1" fillId="0" borderId="0" xfId="0" applyNumberFormat="1" applyFont="1"/>
    <xf numFmtId="0" fontId="1" fillId="0" borderId="0" xfId="0" applyNumberFormat="1" applyFont="1"/>
    <xf numFmtId="0" fontId="1" fillId="0" borderId="0" xfId="0" applyFont="1" applyAlignment="1">
      <alignment horizontal="left" indent="1"/>
    </xf>
  </cellXfs>
  <cellStyles count="1">
    <cellStyle name="Normal" xfId="0" builtinId="0"/>
  </cellStyles>
  <dxfs count="6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65" formatCode="&quot;$&quot;#,##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65" formatCode="&quot;$&quot;#,##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66" formatCode="[$-F800]dddd\,\ mmmm\ dd\,\ yyyy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right" vertical="center" textRotation="0" wrapText="0" indent="0" justifyLastLine="0" shrinkToFit="0" readingOrder="0"/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numFmt numFmtId="165" formatCode="&quot;$&quot;#,##0"/>
    </dxf>
    <dxf>
      <numFmt numFmtId="165" formatCode="&quot;$&quot;#,##0"/>
    </dxf>
    <dxf>
      <numFmt numFmtId="165" formatCode="&quot;$&quot;#,##0"/>
    </dxf>
    <dxf>
      <numFmt numFmtId="165" formatCode="&quot;$&quot;#,##0"/>
    </dxf>
    <dxf>
      <numFmt numFmtId="165" formatCode="&quot;$&quot;#,##0"/>
    </dxf>
    <dxf>
      <numFmt numFmtId="165" formatCode="&quot;$&quot;#,##0"/>
    </dxf>
    <dxf>
      <numFmt numFmtId="165" formatCode="&quot;$&quot;#,##0"/>
    </dxf>
    <dxf>
      <numFmt numFmtId="165" formatCode="&quot;$&quot;#,##0"/>
    </dxf>
    <dxf>
      <numFmt numFmtId="165" formatCode="&quot;$&quot;#,##0"/>
    </dxf>
    <dxf>
      <numFmt numFmtId="165" formatCode="&quot;$&quot;#,##0"/>
    </dxf>
    <dxf>
      <numFmt numFmtId="165" formatCode="&quot;$&quot;#,##0"/>
    </dxf>
    <dxf>
      <numFmt numFmtId="165" formatCode="&quot;$&quot;#,##0"/>
    </dxf>
    <dxf>
      <numFmt numFmtId="165" formatCode="&quot;$&quot;#,##0"/>
    </dxf>
    <dxf>
      <numFmt numFmtId="167" formatCode="&quot;$&quot;#,##0.00"/>
    </dxf>
    <dxf>
      <numFmt numFmtId="167" formatCode="&quot;$&quot;#,##0.00"/>
    </dxf>
    <dxf>
      <numFmt numFmtId="165" formatCode="&quot;$&quot;#,##0"/>
    </dxf>
    <dxf>
      <numFmt numFmtId="165" formatCode="&quot;$&quot;#,##0"/>
    </dxf>
    <dxf>
      <numFmt numFmtId="168" formatCode="&quot;$&quot;#,##0.0"/>
    </dxf>
    <dxf>
      <numFmt numFmtId="168" formatCode="&quot;$&quot;#,##0.0"/>
    </dxf>
    <dxf>
      <numFmt numFmtId="167" formatCode="&quot;$&quot;#,##0.00"/>
    </dxf>
    <dxf>
      <numFmt numFmtId="167" formatCode="&quot;$&quot;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Project.xlsx]Analysis!PivotTable50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Hiring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Analysis!$B$22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Analysis!$A$23:$A$76</c:f>
              <c:strCache>
                <c:ptCount val="53"/>
                <c:pt idx="0">
                  <c:v>01/01/2015</c:v>
                </c:pt>
                <c:pt idx="1">
                  <c:v>01/01/2021</c:v>
                </c:pt>
                <c:pt idx="2">
                  <c:v>01/04/2023</c:v>
                </c:pt>
                <c:pt idx="3">
                  <c:v>01/05/2024</c:v>
                </c:pt>
                <c:pt idx="4">
                  <c:v>01/12/2023</c:v>
                </c:pt>
                <c:pt idx="5">
                  <c:v>01/15/2023</c:v>
                </c:pt>
                <c:pt idx="6">
                  <c:v>01/20/2022</c:v>
                </c:pt>
                <c:pt idx="7">
                  <c:v>01/20/2023</c:v>
                </c:pt>
                <c:pt idx="8">
                  <c:v>02/14/2017</c:v>
                </c:pt>
                <c:pt idx="9">
                  <c:v>02/14/2023</c:v>
                </c:pt>
                <c:pt idx="10">
                  <c:v>02/20/2024</c:v>
                </c:pt>
                <c:pt idx="11">
                  <c:v>02/25/2019</c:v>
                </c:pt>
                <c:pt idx="12">
                  <c:v>02/28/2022</c:v>
                </c:pt>
                <c:pt idx="13">
                  <c:v>03/15/2019</c:v>
                </c:pt>
                <c:pt idx="14">
                  <c:v>03/20/2021</c:v>
                </c:pt>
                <c:pt idx="15">
                  <c:v>03/25/2020</c:v>
                </c:pt>
                <c:pt idx="16">
                  <c:v>04/01/2023</c:v>
                </c:pt>
                <c:pt idx="17">
                  <c:v>04/04/2018</c:v>
                </c:pt>
                <c:pt idx="18">
                  <c:v>04/12/2021</c:v>
                </c:pt>
                <c:pt idx="19">
                  <c:v>04/18/2022</c:v>
                </c:pt>
                <c:pt idx="20">
                  <c:v>05/01/2024</c:v>
                </c:pt>
                <c:pt idx="21">
                  <c:v>05/05/2018</c:v>
                </c:pt>
                <c:pt idx="22">
                  <c:v>05/11/2022</c:v>
                </c:pt>
                <c:pt idx="23">
                  <c:v>05/14/2023</c:v>
                </c:pt>
                <c:pt idx="24">
                  <c:v>05/18/2021</c:v>
                </c:pt>
                <c:pt idx="25">
                  <c:v>05/20/2020</c:v>
                </c:pt>
                <c:pt idx="26">
                  <c:v>05/30/2019</c:v>
                </c:pt>
                <c:pt idx="27">
                  <c:v>06/10/2021</c:v>
                </c:pt>
                <c:pt idx="28">
                  <c:v>06/15/2023</c:v>
                </c:pt>
                <c:pt idx="29">
                  <c:v>06/30/2022</c:v>
                </c:pt>
                <c:pt idx="30">
                  <c:v>07/07/2020</c:v>
                </c:pt>
                <c:pt idx="31">
                  <c:v>07/07/2023</c:v>
                </c:pt>
                <c:pt idx="32">
                  <c:v>07/20/2018</c:v>
                </c:pt>
                <c:pt idx="33">
                  <c:v>08/08/2015</c:v>
                </c:pt>
                <c:pt idx="34">
                  <c:v>08/08/2022</c:v>
                </c:pt>
                <c:pt idx="35">
                  <c:v>08/14/2016</c:v>
                </c:pt>
                <c:pt idx="36">
                  <c:v>08/19/2022</c:v>
                </c:pt>
                <c:pt idx="37">
                  <c:v>09/09/2019</c:v>
                </c:pt>
                <c:pt idx="38">
                  <c:v>09/12/2021</c:v>
                </c:pt>
                <c:pt idx="39">
                  <c:v>09/30/2023</c:v>
                </c:pt>
                <c:pt idx="40">
                  <c:v>10/10/2019</c:v>
                </c:pt>
                <c:pt idx="41">
                  <c:v>10/31/2016</c:v>
                </c:pt>
                <c:pt idx="42">
                  <c:v>10/31/2020</c:v>
                </c:pt>
                <c:pt idx="43">
                  <c:v>11/05/2022</c:v>
                </c:pt>
                <c:pt idx="44">
                  <c:v>11/11/2016</c:v>
                </c:pt>
                <c:pt idx="45">
                  <c:v>11/11/2023</c:v>
                </c:pt>
                <c:pt idx="46">
                  <c:v>11/20/2021</c:v>
                </c:pt>
                <c:pt idx="47">
                  <c:v>12/01/2021</c:v>
                </c:pt>
                <c:pt idx="48">
                  <c:v>12/04/2021</c:v>
                </c:pt>
                <c:pt idx="49">
                  <c:v>12/05/2017</c:v>
                </c:pt>
                <c:pt idx="50">
                  <c:v>12/09/2021</c:v>
                </c:pt>
                <c:pt idx="51">
                  <c:v>12/12/2022</c:v>
                </c:pt>
                <c:pt idx="52">
                  <c:v>12/25/2021</c:v>
                </c:pt>
              </c:strCache>
            </c:strRef>
          </c:cat>
          <c:val>
            <c:numRef>
              <c:f>Analysis!$B$23:$B$76</c:f>
              <c:numCache>
                <c:formatCode>General</c:formatCode>
                <c:ptCount val="53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3</c:v>
                </c:pt>
                <c:pt idx="4">
                  <c:v>2</c:v>
                </c:pt>
                <c:pt idx="5">
                  <c:v>1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3</c:v>
                </c:pt>
                <c:pt idx="14">
                  <c:v>2</c:v>
                </c:pt>
                <c:pt idx="15">
                  <c:v>2</c:v>
                </c:pt>
                <c:pt idx="16">
                  <c:v>1</c:v>
                </c:pt>
                <c:pt idx="17">
                  <c:v>2</c:v>
                </c:pt>
                <c:pt idx="18">
                  <c:v>1</c:v>
                </c:pt>
                <c:pt idx="19">
                  <c:v>2</c:v>
                </c:pt>
                <c:pt idx="20">
                  <c:v>1</c:v>
                </c:pt>
                <c:pt idx="21">
                  <c:v>2</c:v>
                </c:pt>
                <c:pt idx="22">
                  <c:v>1</c:v>
                </c:pt>
                <c:pt idx="23">
                  <c:v>2</c:v>
                </c:pt>
                <c:pt idx="24">
                  <c:v>2</c:v>
                </c:pt>
                <c:pt idx="25">
                  <c:v>3</c:v>
                </c:pt>
                <c:pt idx="26">
                  <c:v>2</c:v>
                </c:pt>
                <c:pt idx="27">
                  <c:v>2</c:v>
                </c:pt>
                <c:pt idx="28">
                  <c:v>1</c:v>
                </c:pt>
                <c:pt idx="29">
                  <c:v>2</c:v>
                </c:pt>
                <c:pt idx="30">
                  <c:v>1</c:v>
                </c:pt>
                <c:pt idx="31">
                  <c:v>2</c:v>
                </c:pt>
                <c:pt idx="32">
                  <c:v>3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3</c:v>
                </c:pt>
                <c:pt idx="37">
                  <c:v>2</c:v>
                </c:pt>
                <c:pt idx="38">
                  <c:v>1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5</c:v>
                </c:pt>
                <c:pt idx="43">
                  <c:v>2</c:v>
                </c:pt>
                <c:pt idx="44">
                  <c:v>1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1</c:v>
                </c:pt>
                <c:pt idx="49">
                  <c:v>3</c:v>
                </c:pt>
                <c:pt idx="50">
                  <c:v>1</c:v>
                </c:pt>
                <c:pt idx="51">
                  <c:v>2</c:v>
                </c:pt>
                <c:pt idx="5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5C-422C-895C-63AA50D851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2843007"/>
        <c:axId val="1732852575"/>
      </c:lineChart>
      <c:catAx>
        <c:axId val="1732843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2852575"/>
        <c:crosses val="autoZero"/>
        <c:auto val="1"/>
        <c:lblAlgn val="ctr"/>
        <c:lblOffset val="100"/>
        <c:noMultiLvlLbl val="0"/>
      </c:catAx>
      <c:valAx>
        <c:axId val="1732852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2843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Salary Vs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'Data After'!$E$1</c:f>
              <c:strCache>
                <c:ptCount val="1"/>
                <c:pt idx="0">
                  <c:v>Salary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'Data After'!$B$2:$B$101</c:f>
              <c:strCache>
                <c:ptCount val="100"/>
                <c:pt idx="0">
                  <c:v>John Smith</c:v>
                </c:pt>
                <c:pt idx="1">
                  <c:v>Jane Doe</c:v>
                </c:pt>
                <c:pt idx="2">
                  <c:v>Robert Brown</c:v>
                </c:pt>
                <c:pt idx="3">
                  <c:v>Alice Johnson</c:v>
                </c:pt>
                <c:pt idx="4">
                  <c:v>Michael Wilson</c:v>
                </c:pt>
                <c:pt idx="5">
                  <c:v>Sarah-Jane Smith</c:v>
                </c:pt>
                <c:pt idx="6">
                  <c:v>James Bond</c:v>
                </c:pt>
                <c:pt idx="7">
                  <c:v>Emily Davis</c:v>
                </c:pt>
                <c:pt idx="8">
                  <c:v>Robert Brown</c:v>
                </c:pt>
                <c:pt idx="9">
                  <c:v>Chris Evans</c:v>
                </c:pt>
                <c:pt idx="10">
                  <c:v>Jessica Alba</c:v>
                </c:pt>
                <c:pt idx="11">
                  <c:v>David Miller</c:v>
                </c:pt>
                <c:pt idx="12">
                  <c:v>Brie Larson</c:v>
                </c:pt>
                <c:pt idx="13">
                  <c:v>Tom Hardy</c:v>
                </c:pt>
                <c:pt idx="14">
                  <c:v>Scarlett Johansson</c:v>
                </c:pt>
                <c:pt idx="15">
                  <c:v>Mark Ruffalo</c:v>
                </c:pt>
                <c:pt idx="16">
                  <c:v>Paul Rudd</c:v>
                </c:pt>
                <c:pt idx="17">
                  <c:v>Jeremy Renner</c:v>
                </c:pt>
                <c:pt idx="18">
                  <c:v>Elizabeth Olsen</c:v>
                </c:pt>
                <c:pt idx="19">
                  <c:v>Chadwick Boseman</c:v>
                </c:pt>
                <c:pt idx="20">
                  <c:v>Benedict Cumberbatch</c:v>
                </c:pt>
                <c:pt idx="21">
                  <c:v>Tom Holland</c:v>
                </c:pt>
                <c:pt idx="22">
                  <c:v>Zendaya Coleman</c:v>
                </c:pt>
                <c:pt idx="23">
                  <c:v>Idris Elba</c:v>
                </c:pt>
                <c:pt idx="24">
                  <c:v>Henry Cavill</c:v>
                </c:pt>
                <c:pt idx="25">
                  <c:v>Gal Gadot</c:v>
                </c:pt>
                <c:pt idx="26">
                  <c:v>Jason Momoa</c:v>
                </c:pt>
                <c:pt idx="27">
                  <c:v>Ben Affleck</c:v>
                </c:pt>
                <c:pt idx="28">
                  <c:v>Christian Bale</c:v>
                </c:pt>
                <c:pt idx="29">
                  <c:v>Anne Hathaway</c:v>
                </c:pt>
                <c:pt idx="30">
                  <c:v>Matthew Mcconaughey</c:v>
                </c:pt>
                <c:pt idx="31">
                  <c:v>Leonardo Dicaprio</c:v>
                </c:pt>
                <c:pt idx="32">
                  <c:v>Brad Pitt</c:v>
                </c:pt>
                <c:pt idx="33">
                  <c:v>Matt Damon</c:v>
                </c:pt>
                <c:pt idx="34">
                  <c:v>George Clooney</c:v>
                </c:pt>
                <c:pt idx="35">
                  <c:v>Julia Roberts</c:v>
                </c:pt>
                <c:pt idx="36">
                  <c:v>Meryl Streep</c:v>
                </c:pt>
                <c:pt idx="37">
                  <c:v>Denzel Washington</c:v>
                </c:pt>
                <c:pt idx="38">
                  <c:v>Tom Cruise</c:v>
                </c:pt>
                <c:pt idx="39">
                  <c:v>Will Smith</c:v>
                </c:pt>
                <c:pt idx="40">
                  <c:v>Margot Robbie</c:v>
                </c:pt>
                <c:pt idx="41">
                  <c:v>Ryan Gosling</c:v>
                </c:pt>
                <c:pt idx="42">
                  <c:v>Emma Stone</c:v>
                </c:pt>
                <c:pt idx="43">
                  <c:v>Hugh Jackman</c:v>
                </c:pt>
                <c:pt idx="44">
                  <c:v>Nicole Kidman</c:v>
                </c:pt>
                <c:pt idx="45">
                  <c:v>Russell Crowe</c:v>
                </c:pt>
                <c:pt idx="46">
                  <c:v>Cate Blanchett</c:v>
                </c:pt>
                <c:pt idx="47">
                  <c:v>Joaquin Phoenix</c:v>
                </c:pt>
                <c:pt idx="48">
                  <c:v>Charlize Theron</c:v>
                </c:pt>
                <c:pt idx="49">
                  <c:v>Daniel Craig</c:v>
                </c:pt>
                <c:pt idx="50">
                  <c:v>Jude Law</c:v>
                </c:pt>
                <c:pt idx="51">
                  <c:v>Keanu Reeves</c:v>
                </c:pt>
                <c:pt idx="52">
                  <c:v>Sandra Bullock</c:v>
                </c:pt>
                <c:pt idx="53">
                  <c:v>Johnny Depp</c:v>
                </c:pt>
                <c:pt idx="54">
                  <c:v>Penelope Cruz</c:v>
                </c:pt>
                <c:pt idx="55">
                  <c:v>Robert Downey Jr</c:v>
                </c:pt>
                <c:pt idx="56">
                  <c:v>Gwyneth Paltrow</c:v>
                </c:pt>
                <c:pt idx="57">
                  <c:v>Chris Pratt</c:v>
                </c:pt>
                <c:pt idx="58">
                  <c:v>Zoe Saldana</c:v>
                </c:pt>
                <c:pt idx="59">
                  <c:v>Vin Diesel</c:v>
                </c:pt>
                <c:pt idx="60">
                  <c:v>Michelle Rodriguez</c:v>
                </c:pt>
                <c:pt idx="61">
                  <c:v>Dwayne Johnson</c:v>
                </c:pt>
                <c:pt idx="62">
                  <c:v>Jason Statham</c:v>
                </c:pt>
                <c:pt idx="63">
                  <c:v>Charlize Theron</c:v>
                </c:pt>
                <c:pt idx="64">
                  <c:v>Emily Blunt</c:v>
                </c:pt>
                <c:pt idx="65">
                  <c:v>John Krasinski</c:v>
                </c:pt>
                <c:pt idx="66">
                  <c:v>Jenna Ortega</c:v>
                </c:pt>
                <c:pt idx="67">
                  <c:v>Pedro Pascal</c:v>
                </c:pt>
                <c:pt idx="68">
                  <c:v>Bella Ramsey</c:v>
                </c:pt>
                <c:pt idx="69">
                  <c:v>Oscar Isaac</c:v>
                </c:pt>
                <c:pt idx="70">
                  <c:v>Florence Pugh</c:v>
                </c:pt>
                <c:pt idx="71">
                  <c:v>Austin Butler</c:v>
                </c:pt>
                <c:pt idx="72">
                  <c:v>Anya Taylor-Joy</c:v>
                </c:pt>
                <c:pt idx="73">
                  <c:v>Timothee Chalamet</c:v>
                </c:pt>
                <c:pt idx="74">
                  <c:v>Zendaya</c:v>
                </c:pt>
                <c:pt idx="75">
                  <c:v>Tom Hardy</c:v>
                </c:pt>
                <c:pt idx="76">
                  <c:v>Cillian Murphy</c:v>
                </c:pt>
                <c:pt idx="77">
                  <c:v>Emily Blunt</c:v>
                </c:pt>
                <c:pt idx="78">
                  <c:v>Matt Damon</c:v>
                </c:pt>
                <c:pt idx="79">
                  <c:v>Viola Davis</c:v>
                </c:pt>
                <c:pt idx="80">
                  <c:v>Meryl Streep</c:v>
                </c:pt>
                <c:pt idx="81">
                  <c:v>Adam Driver</c:v>
                </c:pt>
                <c:pt idx="82">
                  <c:v>Andrew Garfield</c:v>
                </c:pt>
                <c:pt idx="83">
                  <c:v>Tobey Maguire</c:v>
                </c:pt>
                <c:pt idx="84">
                  <c:v>Tom Holland</c:v>
                </c:pt>
                <c:pt idx="85">
                  <c:v>Natalie Portman</c:v>
                </c:pt>
                <c:pt idx="86">
                  <c:v>Keira Knightley</c:v>
                </c:pt>
                <c:pt idx="87">
                  <c:v>Christian Bale</c:v>
                </c:pt>
                <c:pt idx="88">
                  <c:v>Gary Oldman</c:v>
                </c:pt>
                <c:pt idx="89">
                  <c:v>Heath Ledger</c:v>
                </c:pt>
                <c:pt idx="90">
                  <c:v>Jack Nicholson</c:v>
                </c:pt>
                <c:pt idx="91">
                  <c:v>Morgan Freeman</c:v>
                </c:pt>
                <c:pt idx="92">
                  <c:v>Samuel L Jackson</c:v>
                </c:pt>
                <c:pt idx="93">
                  <c:v>Anthony Hopkins</c:v>
                </c:pt>
                <c:pt idx="94">
                  <c:v>Al Pacino</c:v>
                </c:pt>
                <c:pt idx="95">
                  <c:v>Robert De Niro</c:v>
                </c:pt>
                <c:pt idx="96">
                  <c:v>Joe Pesci</c:v>
                </c:pt>
                <c:pt idx="97">
                  <c:v>Leonardo Dicaprio</c:v>
                </c:pt>
                <c:pt idx="98">
                  <c:v>Kate Winslet</c:v>
                </c:pt>
                <c:pt idx="99">
                  <c:v>Sigourney Weaver</c:v>
                </c:pt>
              </c:strCache>
            </c:strRef>
          </c:cat>
          <c:val>
            <c:numRef>
              <c:f>'Data After'!$E$2:$E$101</c:f>
              <c:numCache>
                <c:formatCode>"$"#,##0</c:formatCode>
                <c:ptCount val="100"/>
                <c:pt idx="0">
                  <c:v>65000</c:v>
                </c:pt>
                <c:pt idx="1">
                  <c:v>62000</c:v>
                </c:pt>
                <c:pt idx="2">
                  <c:v>68000</c:v>
                </c:pt>
                <c:pt idx="3">
                  <c:v>72000</c:v>
                </c:pt>
                <c:pt idx="4">
                  <c:v>70000</c:v>
                </c:pt>
                <c:pt idx="5">
                  <c:v>71000</c:v>
                </c:pt>
                <c:pt idx="6">
                  <c:v>95000</c:v>
                </c:pt>
                <c:pt idx="7">
                  <c:v>92000</c:v>
                </c:pt>
                <c:pt idx="8">
                  <c:v>68000</c:v>
                </c:pt>
                <c:pt idx="9">
                  <c:v>55000</c:v>
                </c:pt>
                <c:pt idx="10">
                  <c:v>58000</c:v>
                </c:pt>
                <c:pt idx="11">
                  <c:v>60000</c:v>
                </c:pt>
                <c:pt idx="12">
                  <c:v>61000</c:v>
                </c:pt>
                <c:pt idx="13">
                  <c:v>75000</c:v>
                </c:pt>
                <c:pt idx="14">
                  <c:v>77000</c:v>
                </c:pt>
                <c:pt idx="15">
                  <c:v>88000</c:v>
                </c:pt>
                <c:pt idx="16">
                  <c:v>85000</c:v>
                </c:pt>
                <c:pt idx="17">
                  <c:v>59000</c:v>
                </c:pt>
                <c:pt idx="18">
                  <c:v>60000</c:v>
                </c:pt>
                <c:pt idx="19">
                  <c:v>110000</c:v>
                </c:pt>
                <c:pt idx="20">
                  <c:v>105000</c:v>
                </c:pt>
                <c:pt idx="21">
                  <c:v>50000</c:v>
                </c:pt>
                <c:pt idx="22">
                  <c:v>52000</c:v>
                </c:pt>
                <c:pt idx="23">
                  <c:v>82000</c:v>
                </c:pt>
                <c:pt idx="24">
                  <c:v>80000</c:v>
                </c:pt>
                <c:pt idx="25">
                  <c:v>90000</c:v>
                </c:pt>
                <c:pt idx="26">
                  <c:v>95000</c:v>
                </c:pt>
                <c:pt idx="27">
                  <c:v>120000</c:v>
                </c:pt>
                <c:pt idx="28">
                  <c:v>125000</c:v>
                </c:pt>
                <c:pt idx="29">
                  <c:v>64000</c:v>
                </c:pt>
                <c:pt idx="30">
                  <c:v>65000</c:v>
                </c:pt>
                <c:pt idx="31">
                  <c:v>130000</c:v>
                </c:pt>
                <c:pt idx="32">
                  <c:v>135000</c:v>
                </c:pt>
                <c:pt idx="33">
                  <c:v>110000</c:v>
                </c:pt>
                <c:pt idx="34">
                  <c:v>115000</c:v>
                </c:pt>
                <c:pt idx="35">
                  <c:v>140000</c:v>
                </c:pt>
                <c:pt idx="36">
                  <c:v>145000</c:v>
                </c:pt>
                <c:pt idx="37">
                  <c:v>88000</c:v>
                </c:pt>
                <c:pt idx="38">
                  <c:v>90000</c:v>
                </c:pt>
                <c:pt idx="39">
                  <c:v>85000</c:v>
                </c:pt>
                <c:pt idx="40">
                  <c:v>87000</c:v>
                </c:pt>
                <c:pt idx="41">
                  <c:v>80000</c:v>
                </c:pt>
                <c:pt idx="42">
                  <c:v>82000</c:v>
                </c:pt>
                <c:pt idx="43">
                  <c:v>150000</c:v>
                </c:pt>
                <c:pt idx="44">
                  <c:v>155000</c:v>
                </c:pt>
                <c:pt idx="45">
                  <c:v>62000</c:v>
                </c:pt>
                <c:pt idx="46">
                  <c:v>63000</c:v>
                </c:pt>
                <c:pt idx="47">
                  <c:v>100000</c:v>
                </c:pt>
                <c:pt idx="48">
                  <c:v>105000</c:v>
                </c:pt>
                <c:pt idx="49">
                  <c:v>98000</c:v>
                </c:pt>
                <c:pt idx="50">
                  <c:v>95000</c:v>
                </c:pt>
                <c:pt idx="51">
                  <c:v>75000</c:v>
                </c:pt>
                <c:pt idx="52">
                  <c:v>77000</c:v>
                </c:pt>
                <c:pt idx="53">
                  <c:v>120000</c:v>
                </c:pt>
                <c:pt idx="54">
                  <c:v>125000</c:v>
                </c:pt>
                <c:pt idx="55">
                  <c:v>140000</c:v>
                </c:pt>
                <c:pt idx="56">
                  <c:v>135000</c:v>
                </c:pt>
                <c:pt idx="57">
                  <c:v>58000</c:v>
                </c:pt>
                <c:pt idx="58">
                  <c:v>60000</c:v>
                </c:pt>
                <c:pt idx="59">
                  <c:v>170000</c:v>
                </c:pt>
                <c:pt idx="60">
                  <c:v>165000</c:v>
                </c:pt>
                <c:pt idx="61">
                  <c:v>95000</c:v>
                </c:pt>
                <c:pt idx="62">
                  <c:v>98000</c:v>
                </c:pt>
                <c:pt idx="63">
                  <c:v>100000</c:v>
                </c:pt>
                <c:pt idx="64">
                  <c:v>102000</c:v>
                </c:pt>
                <c:pt idx="65">
                  <c:v>85000</c:v>
                </c:pt>
                <c:pt idx="66">
                  <c:v>82000</c:v>
                </c:pt>
                <c:pt idx="67">
                  <c:v>66000</c:v>
                </c:pt>
                <c:pt idx="68">
                  <c:v>64000</c:v>
                </c:pt>
                <c:pt idx="69">
                  <c:v>115000</c:v>
                </c:pt>
                <c:pt idx="70">
                  <c:v>112000</c:v>
                </c:pt>
                <c:pt idx="71">
                  <c:v>48000</c:v>
                </c:pt>
                <c:pt idx="72">
                  <c:v>50000</c:v>
                </c:pt>
                <c:pt idx="73">
                  <c:v>55000</c:v>
                </c:pt>
                <c:pt idx="74">
                  <c:v>50000</c:v>
                </c:pt>
                <c:pt idx="75">
                  <c:v>75000</c:v>
                </c:pt>
                <c:pt idx="76">
                  <c:v>110000</c:v>
                </c:pt>
                <c:pt idx="77">
                  <c:v>102000</c:v>
                </c:pt>
                <c:pt idx="78">
                  <c:v>110000</c:v>
                </c:pt>
                <c:pt idx="79">
                  <c:v>155000</c:v>
                </c:pt>
                <c:pt idx="80">
                  <c:v>140000</c:v>
                </c:pt>
                <c:pt idx="81">
                  <c:v>84000</c:v>
                </c:pt>
                <c:pt idx="82">
                  <c:v>82000</c:v>
                </c:pt>
                <c:pt idx="83">
                  <c:v>92000</c:v>
                </c:pt>
                <c:pt idx="84">
                  <c:v>50000</c:v>
                </c:pt>
                <c:pt idx="85">
                  <c:v>118000</c:v>
                </c:pt>
                <c:pt idx="86">
                  <c:v>115000</c:v>
                </c:pt>
                <c:pt idx="87">
                  <c:v>120000</c:v>
                </c:pt>
                <c:pt idx="88">
                  <c:v>100000</c:v>
                </c:pt>
                <c:pt idx="89">
                  <c:v>105000</c:v>
                </c:pt>
                <c:pt idx="90">
                  <c:v>130000</c:v>
                </c:pt>
                <c:pt idx="91">
                  <c:v>135000</c:v>
                </c:pt>
                <c:pt idx="92">
                  <c:v>145000</c:v>
                </c:pt>
                <c:pt idx="93">
                  <c:v>160000</c:v>
                </c:pt>
                <c:pt idx="94">
                  <c:v>155000</c:v>
                </c:pt>
                <c:pt idx="95">
                  <c:v>180000</c:v>
                </c:pt>
                <c:pt idx="96">
                  <c:v>175000</c:v>
                </c:pt>
                <c:pt idx="97">
                  <c:v>130000</c:v>
                </c:pt>
                <c:pt idx="98">
                  <c:v>92000</c:v>
                </c:pt>
                <c:pt idx="99">
                  <c:v>95000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C9-4659-99FC-2EC87A2C222E}"/>
            </c:ext>
          </c:extLst>
        </c:ser>
        <c:ser>
          <c:idx val="1"/>
          <c:order val="1"/>
          <c:tx>
            <c:strRef>
              <c:f>'Data After'!$G$1</c:f>
              <c:strCache>
                <c:ptCount val="1"/>
                <c:pt idx="0">
                  <c:v>Total Sales 2025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'Data After'!$B$2:$B$101</c:f>
              <c:strCache>
                <c:ptCount val="100"/>
                <c:pt idx="0">
                  <c:v>John Smith</c:v>
                </c:pt>
                <c:pt idx="1">
                  <c:v>Jane Doe</c:v>
                </c:pt>
                <c:pt idx="2">
                  <c:v>Robert Brown</c:v>
                </c:pt>
                <c:pt idx="3">
                  <c:v>Alice Johnson</c:v>
                </c:pt>
                <c:pt idx="4">
                  <c:v>Michael Wilson</c:v>
                </c:pt>
                <c:pt idx="5">
                  <c:v>Sarah-Jane Smith</c:v>
                </c:pt>
                <c:pt idx="6">
                  <c:v>James Bond</c:v>
                </c:pt>
                <c:pt idx="7">
                  <c:v>Emily Davis</c:v>
                </c:pt>
                <c:pt idx="8">
                  <c:v>Robert Brown</c:v>
                </c:pt>
                <c:pt idx="9">
                  <c:v>Chris Evans</c:v>
                </c:pt>
                <c:pt idx="10">
                  <c:v>Jessica Alba</c:v>
                </c:pt>
                <c:pt idx="11">
                  <c:v>David Miller</c:v>
                </c:pt>
                <c:pt idx="12">
                  <c:v>Brie Larson</c:v>
                </c:pt>
                <c:pt idx="13">
                  <c:v>Tom Hardy</c:v>
                </c:pt>
                <c:pt idx="14">
                  <c:v>Scarlett Johansson</c:v>
                </c:pt>
                <c:pt idx="15">
                  <c:v>Mark Ruffalo</c:v>
                </c:pt>
                <c:pt idx="16">
                  <c:v>Paul Rudd</c:v>
                </c:pt>
                <c:pt idx="17">
                  <c:v>Jeremy Renner</c:v>
                </c:pt>
                <c:pt idx="18">
                  <c:v>Elizabeth Olsen</c:v>
                </c:pt>
                <c:pt idx="19">
                  <c:v>Chadwick Boseman</c:v>
                </c:pt>
                <c:pt idx="20">
                  <c:v>Benedict Cumberbatch</c:v>
                </c:pt>
                <c:pt idx="21">
                  <c:v>Tom Holland</c:v>
                </c:pt>
                <c:pt idx="22">
                  <c:v>Zendaya Coleman</c:v>
                </c:pt>
                <c:pt idx="23">
                  <c:v>Idris Elba</c:v>
                </c:pt>
                <c:pt idx="24">
                  <c:v>Henry Cavill</c:v>
                </c:pt>
                <c:pt idx="25">
                  <c:v>Gal Gadot</c:v>
                </c:pt>
                <c:pt idx="26">
                  <c:v>Jason Momoa</c:v>
                </c:pt>
                <c:pt idx="27">
                  <c:v>Ben Affleck</c:v>
                </c:pt>
                <c:pt idx="28">
                  <c:v>Christian Bale</c:v>
                </c:pt>
                <c:pt idx="29">
                  <c:v>Anne Hathaway</c:v>
                </c:pt>
                <c:pt idx="30">
                  <c:v>Matthew Mcconaughey</c:v>
                </c:pt>
                <c:pt idx="31">
                  <c:v>Leonardo Dicaprio</c:v>
                </c:pt>
                <c:pt idx="32">
                  <c:v>Brad Pitt</c:v>
                </c:pt>
                <c:pt idx="33">
                  <c:v>Matt Damon</c:v>
                </c:pt>
                <c:pt idx="34">
                  <c:v>George Clooney</c:v>
                </c:pt>
                <c:pt idx="35">
                  <c:v>Julia Roberts</c:v>
                </c:pt>
                <c:pt idx="36">
                  <c:v>Meryl Streep</c:v>
                </c:pt>
                <c:pt idx="37">
                  <c:v>Denzel Washington</c:v>
                </c:pt>
                <c:pt idx="38">
                  <c:v>Tom Cruise</c:v>
                </c:pt>
                <c:pt idx="39">
                  <c:v>Will Smith</c:v>
                </c:pt>
                <c:pt idx="40">
                  <c:v>Margot Robbie</c:v>
                </c:pt>
                <c:pt idx="41">
                  <c:v>Ryan Gosling</c:v>
                </c:pt>
                <c:pt idx="42">
                  <c:v>Emma Stone</c:v>
                </c:pt>
                <c:pt idx="43">
                  <c:v>Hugh Jackman</c:v>
                </c:pt>
                <c:pt idx="44">
                  <c:v>Nicole Kidman</c:v>
                </c:pt>
                <c:pt idx="45">
                  <c:v>Russell Crowe</c:v>
                </c:pt>
                <c:pt idx="46">
                  <c:v>Cate Blanchett</c:v>
                </c:pt>
                <c:pt idx="47">
                  <c:v>Joaquin Phoenix</c:v>
                </c:pt>
                <c:pt idx="48">
                  <c:v>Charlize Theron</c:v>
                </c:pt>
                <c:pt idx="49">
                  <c:v>Daniel Craig</c:v>
                </c:pt>
                <c:pt idx="50">
                  <c:v>Jude Law</c:v>
                </c:pt>
                <c:pt idx="51">
                  <c:v>Keanu Reeves</c:v>
                </c:pt>
                <c:pt idx="52">
                  <c:v>Sandra Bullock</c:v>
                </c:pt>
                <c:pt idx="53">
                  <c:v>Johnny Depp</c:v>
                </c:pt>
                <c:pt idx="54">
                  <c:v>Penelope Cruz</c:v>
                </c:pt>
                <c:pt idx="55">
                  <c:v>Robert Downey Jr</c:v>
                </c:pt>
                <c:pt idx="56">
                  <c:v>Gwyneth Paltrow</c:v>
                </c:pt>
                <c:pt idx="57">
                  <c:v>Chris Pratt</c:v>
                </c:pt>
                <c:pt idx="58">
                  <c:v>Zoe Saldana</c:v>
                </c:pt>
                <c:pt idx="59">
                  <c:v>Vin Diesel</c:v>
                </c:pt>
                <c:pt idx="60">
                  <c:v>Michelle Rodriguez</c:v>
                </c:pt>
                <c:pt idx="61">
                  <c:v>Dwayne Johnson</c:v>
                </c:pt>
                <c:pt idx="62">
                  <c:v>Jason Statham</c:v>
                </c:pt>
                <c:pt idx="63">
                  <c:v>Charlize Theron</c:v>
                </c:pt>
                <c:pt idx="64">
                  <c:v>Emily Blunt</c:v>
                </c:pt>
                <c:pt idx="65">
                  <c:v>John Krasinski</c:v>
                </c:pt>
                <c:pt idx="66">
                  <c:v>Jenna Ortega</c:v>
                </c:pt>
                <c:pt idx="67">
                  <c:v>Pedro Pascal</c:v>
                </c:pt>
                <c:pt idx="68">
                  <c:v>Bella Ramsey</c:v>
                </c:pt>
                <c:pt idx="69">
                  <c:v>Oscar Isaac</c:v>
                </c:pt>
                <c:pt idx="70">
                  <c:v>Florence Pugh</c:v>
                </c:pt>
                <c:pt idx="71">
                  <c:v>Austin Butler</c:v>
                </c:pt>
                <c:pt idx="72">
                  <c:v>Anya Taylor-Joy</c:v>
                </c:pt>
                <c:pt idx="73">
                  <c:v>Timothee Chalamet</c:v>
                </c:pt>
                <c:pt idx="74">
                  <c:v>Zendaya</c:v>
                </c:pt>
                <c:pt idx="75">
                  <c:v>Tom Hardy</c:v>
                </c:pt>
                <c:pt idx="76">
                  <c:v>Cillian Murphy</c:v>
                </c:pt>
                <c:pt idx="77">
                  <c:v>Emily Blunt</c:v>
                </c:pt>
                <c:pt idx="78">
                  <c:v>Matt Damon</c:v>
                </c:pt>
                <c:pt idx="79">
                  <c:v>Viola Davis</c:v>
                </c:pt>
                <c:pt idx="80">
                  <c:v>Meryl Streep</c:v>
                </c:pt>
                <c:pt idx="81">
                  <c:v>Adam Driver</c:v>
                </c:pt>
                <c:pt idx="82">
                  <c:v>Andrew Garfield</c:v>
                </c:pt>
                <c:pt idx="83">
                  <c:v>Tobey Maguire</c:v>
                </c:pt>
                <c:pt idx="84">
                  <c:v>Tom Holland</c:v>
                </c:pt>
                <c:pt idx="85">
                  <c:v>Natalie Portman</c:v>
                </c:pt>
                <c:pt idx="86">
                  <c:v>Keira Knightley</c:v>
                </c:pt>
                <c:pt idx="87">
                  <c:v>Christian Bale</c:v>
                </c:pt>
                <c:pt idx="88">
                  <c:v>Gary Oldman</c:v>
                </c:pt>
                <c:pt idx="89">
                  <c:v>Heath Ledger</c:v>
                </c:pt>
                <c:pt idx="90">
                  <c:v>Jack Nicholson</c:v>
                </c:pt>
                <c:pt idx="91">
                  <c:v>Morgan Freeman</c:v>
                </c:pt>
                <c:pt idx="92">
                  <c:v>Samuel L Jackson</c:v>
                </c:pt>
                <c:pt idx="93">
                  <c:v>Anthony Hopkins</c:v>
                </c:pt>
                <c:pt idx="94">
                  <c:v>Al Pacino</c:v>
                </c:pt>
                <c:pt idx="95">
                  <c:v>Robert De Niro</c:v>
                </c:pt>
                <c:pt idx="96">
                  <c:v>Joe Pesci</c:v>
                </c:pt>
                <c:pt idx="97">
                  <c:v>Leonardo Dicaprio</c:v>
                </c:pt>
                <c:pt idx="98">
                  <c:v>Kate Winslet</c:v>
                </c:pt>
                <c:pt idx="99">
                  <c:v>Sigourney Weaver</c:v>
                </c:pt>
              </c:strCache>
            </c:strRef>
          </c:cat>
          <c:val>
            <c:numRef>
              <c:f>'Data After'!$G$2:$G$101</c:f>
              <c:numCache>
                <c:formatCode>"$"#,##0</c:formatCode>
                <c:ptCount val="100"/>
                <c:pt idx="0">
                  <c:v>12000</c:v>
                </c:pt>
                <c:pt idx="1">
                  <c:v>8500</c:v>
                </c:pt>
                <c:pt idx="2">
                  <c:v>9200</c:v>
                </c:pt>
                <c:pt idx="3">
                  <c:v>15000</c:v>
                </c:pt>
                <c:pt idx="4">
                  <c:v>11000</c:v>
                </c:pt>
                <c:pt idx="5">
                  <c:v>13500</c:v>
                </c:pt>
                <c:pt idx="6">
                  <c:v>0</c:v>
                </c:pt>
                <c:pt idx="7">
                  <c:v>0</c:v>
                </c:pt>
                <c:pt idx="8">
                  <c:v>9200</c:v>
                </c:pt>
                <c:pt idx="9">
                  <c:v>0</c:v>
                </c:pt>
                <c:pt idx="10">
                  <c:v>0</c:v>
                </c:pt>
                <c:pt idx="11">
                  <c:v>7000</c:v>
                </c:pt>
                <c:pt idx="12">
                  <c:v>6500</c:v>
                </c:pt>
                <c:pt idx="13">
                  <c:v>18000</c:v>
                </c:pt>
                <c:pt idx="14">
                  <c:v>19500</c:v>
                </c:pt>
                <c:pt idx="15">
                  <c:v>0</c:v>
                </c:pt>
                <c:pt idx="16">
                  <c:v>0</c:v>
                </c:pt>
                <c:pt idx="17">
                  <c:v>5000</c:v>
                </c:pt>
                <c:pt idx="18">
                  <c:v>5200</c:v>
                </c:pt>
                <c:pt idx="19">
                  <c:v>0</c:v>
                </c:pt>
                <c:pt idx="20">
                  <c:v>0</c:v>
                </c:pt>
                <c:pt idx="21">
                  <c:v>2000</c:v>
                </c:pt>
                <c:pt idx="22">
                  <c:v>2500</c:v>
                </c:pt>
                <c:pt idx="23">
                  <c:v>11000</c:v>
                </c:pt>
                <c:pt idx="24">
                  <c:v>10500</c:v>
                </c:pt>
                <c:pt idx="25">
                  <c:v>22000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8000</c:v>
                </c:pt>
                <c:pt idx="30">
                  <c:v>8100</c:v>
                </c:pt>
                <c:pt idx="31">
                  <c:v>30000</c:v>
                </c:pt>
                <c:pt idx="32">
                  <c:v>31000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14000</c:v>
                </c:pt>
                <c:pt idx="38">
                  <c:v>14500</c:v>
                </c:pt>
                <c:pt idx="39">
                  <c:v>16000</c:v>
                </c:pt>
                <c:pt idx="40">
                  <c:v>16500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7500</c:v>
                </c:pt>
                <c:pt idx="46">
                  <c:v>7600</c:v>
                </c:pt>
                <c:pt idx="47">
                  <c:v>20000</c:v>
                </c:pt>
                <c:pt idx="48">
                  <c:v>21000</c:v>
                </c:pt>
                <c:pt idx="49">
                  <c:v>0</c:v>
                </c:pt>
                <c:pt idx="50">
                  <c:v>0</c:v>
                </c:pt>
                <c:pt idx="51">
                  <c:v>10000</c:v>
                </c:pt>
                <c:pt idx="52">
                  <c:v>10200</c:v>
                </c:pt>
                <c:pt idx="53">
                  <c:v>25000</c:v>
                </c:pt>
                <c:pt idx="54">
                  <c:v>26000</c:v>
                </c:pt>
                <c:pt idx="55">
                  <c:v>0</c:v>
                </c:pt>
                <c:pt idx="56">
                  <c:v>0</c:v>
                </c:pt>
                <c:pt idx="57">
                  <c:v>6000</c:v>
                </c:pt>
                <c:pt idx="58">
                  <c:v>6200</c:v>
                </c:pt>
                <c:pt idx="59">
                  <c:v>0</c:v>
                </c:pt>
                <c:pt idx="60">
                  <c:v>0</c:v>
                </c:pt>
                <c:pt idx="61">
                  <c:v>15000</c:v>
                </c:pt>
                <c:pt idx="62">
                  <c:v>15500</c:v>
                </c:pt>
                <c:pt idx="63">
                  <c:v>20000</c:v>
                </c:pt>
                <c:pt idx="64">
                  <c:v>20500</c:v>
                </c:pt>
                <c:pt idx="65">
                  <c:v>0</c:v>
                </c:pt>
                <c:pt idx="66">
                  <c:v>0</c:v>
                </c:pt>
                <c:pt idx="67">
                  <c:v>9000</c:v>
                </c:pt>
                <c:pt idx="68">
                  <c:v>8800</c:v>
                </c:pt>
                <c:pt idx="69">
                  <c:v>0</c:v>
                </c:pt>
                <c:pt idx="70">
                  <c:v>0</c:v>
                </c:pt>
                <c:pt idx="71">
                  <c:v>1500</c:v>
                </c:pt>
                <c:pt idx="72">
                  <c:v>1800</c:v>
                </c:pt>
                <c:pt idx="73">
                  <c:v>4000</c:v>
                </c:pt>
                <c:pt idx="74">
                  <c:v>2000</c:v>
                </c:pt>
                <c:pt idx="75">
                  <c:v>18000</c:v>
                </c:pt>
                <c:pt idx="76">
                  <c:v>0</c:v>
                </c:pt>
                <c:pt idx="77">
                  <c:v>20500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12000</c:v>
                </c:pt>
                <c:pt idx="82">
                  <c:v>11500</c:v>
                </c:pt>
                <c:pt idx="83">
                  <c:v>21000</c:v>
                </c:pt>
                <c:pt idx="84">
                  <c:v>2000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20000</c:v>
                </c:pt>
                <c:pt idx="89">
                  <c:v>20500</c:v>
                </c:pt>
                <c:pt idx="90">
                  <c:v>28000</c:v>
                </c:pt>
                <c:pt idx="91">
                  <c:v>0</c:v>
                </c:pt>
                <c:pt idx="92">
                  <c:v>0</c:v>
                </c:pt>
                <c:pt idx="93">
                  <c:v>35000</c:v>
                </c:pt>
                <c:pt idx="94">
                  <c:v>34000</c:v>
                </c:pt>
                <c:pt idx="95">
                  <c:v>40000</c:v>
                </c:pt>
                <c:pt idx="96">
                  <c:v>39000</c:v>
                </c:pt>
                <c:pt idx="97">
                  <c:v>30000</c:v>
                </c:pt>
                <c:pt idx="98">
                  <c:v>0</c:v>
                </c:pt>
                <c:pt idx="9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2C9-4659-99FC-2EC87A2C22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4662943"/>
        <c:axId val="1774641727"/>
      </c:lineChart>
      <c:catAx>
        <c:axId val="1774662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4641727"/>
        <c:crosses val="autoZero"/>
        <c:auto val="1"/>
        <c:lblAlgn val="ctr"/>
        <c:lblOffset val="100"/>
        <c:noMultiLvlLbl val="0"/>
      </c:catAx>
      <c:valAx>
        <c:axId val="1774641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4662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21</xdr:row>
      <xdr:rowOff>0</xdr:rowOff>
    </xdr:from>
    <xdr:to>
      <xdr:col>10</xdr:col>
      <xdr:colOff>0</xdr:colOff>
      <xdr:row>38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B00C24-1DA8-4D68-ABA0-A56D624028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1</xdr:row>
      <xdr:rowOff>0</xdr:rowOff>
    </xdr:from>
    <xdr:to>
      <xdr:col>11</xdr:col>
      <xdr:colOff>0</xdr:colOff>
      <xdr:row>21</xdr:row>
      <xdr:rowOff>7620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A9124E9-59A0-46A2-9122-E63B128EC4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hamed Khaled" refreshedDate="46059.589137615738" createdVersion="7" refreshedVersion="7" minRefreshableVersion="3" recordCount="100" xr:uid="{33FFC397-EBCD-472D-86C2-5512B64DAD76}">
  <cacheSource type="worksheet">
    <worksheetSource name="Table1"/>
  </cacheSource>
  <cacheFields count="8">
    <cacheField name="Employee Id" numFmtId="0">
      <sharedItems/>
    </cacheField>
    <cacheField name="Full Name" numFmtId="0">
      <sharedItems/>
    </cacheField>
    <cacheField name="Department" numFmtId="0">
      <sharedItems count="4">
        <s v="Sales"/>
        <s v="Marketing"/>
        <s v="IT"/>
        <s v="HR"/>
      </sharedItems>
    </cacheField>
    <cacheField name="Hire Date" numFmtId="166">
      <sharedItems count="53">
        <s v="01/15/2023"/>
        <s v="01/20/2023"/>
        <s v="01/12/2023"/>
        <s v="11/05/2022"/>
        <s v="05/11/2022"/>
        <s v="06/10/2021"/>
        <s v="03/25/2020"/>
        <s v="05/14/2023"/>
        <s v="08/19/2022"/>
        <s v="12/01/2021"/>
        <s v="09/30/2023"/>
        <s v="10/10/2019"/>
        <s v="01/05/2024"/>
        <s v="05/01/2024"/>
        <s v="02/28/2022"/>
        <s v="04/12/2021"/>
        <s v="12/04/2021"/>
        <s v="07/20/2018"/>
        <s v="11/11/2023"/>
        <s v="05/20/2020"/>
        <s v="03/15/2019"/>
        <s v="12/05/2017"/>
        <s v="06/30/2022"/>
        <s v="09/12/2021"/>
        <s v="12/09/2021"/>
        <s v="01/20/2022"/>
        <s v="08/14/2016"/>
        <s v="04/01/2023"/>
        <s v="01/04/2023"/>
        <s v="10/31/2020"/>
        <s v="05/18/2021"/>
        <s v="12/12/2022"/>
        <s v="02/25/2019"/>
        <s v="04/04/2018"/>
        <s v="07/07/2023"/>
        <s v="01/01/2015"/>
        <s v="03/20/2021"/>
        <s v="08/08/2022"/>
        <s v="02/14/2023"/>
        <s v="05/30/2019"/>
        <s v="02/20/2024"/>
        <s v="06/15/2023"/>
        <s v="07/07/2020"/>
        <s v="11/11/2016"/>
        <s v="04/18/2022"/>
        <s v="12/25/2021"/>
        <s v="09/09/2019"/>
        <s v="01/01/2021"/>
        <s v="05/05/2018"/>
        <s v="02/14/2017"/>
        <s v="10/31/2016"/>
        <s v="08/08/2015"/>
        <s v="11/20/2021"/>
      </sharedItems>
    </cacheField>
    <cacheField name="Salary" numFmtId="165">
      <sharedItems containsSemiMixedTypes="0" containsString="0" containsNumber="1" containsInteger="1" minValue="48000" maxValue="180000"/>
    </cacheField>
    <cacheField name="Performance Score" numFmtId="0">
      <sharedItems/>
    </cacheField>
    <cacheField name="Total Sales 2025" numFmtId="165">
      <sharedItems containsSemiMixedTypes="0" containsString="0" containsNumber="1" containsInteger="1" minValue="0" maxValue="40000" count="48">
        <n v="12000"/>
        <n v="8500"/>
        <n v="9200"/>
        <n v="15000"/>
        <n v="11000"/>
        <n v="13500"/>
        <n v="0"/>
        <n v="7000"/>
        <n v="6500"/>
        <n v="18000"/>
        <n v="19500"/>
        <n v="5000"/>
        <n v="5200"/>
        <n v="2000"/>
        <n v="2500"/>
        <n v="10500"/>
        <n v="22000"/>
        <n v="8000"/>
        <n v="8100"/>
        <n v="30000"/>
        <n v="31000"/>
        <n v="14000"/>
        <n v="14500"/>
        <n v="16000"/>
        <n v="16500"/>
        <n v="7500"/>
        <n v="7600"/>
        <n v="20000"/>
        <n v="21000"/>
        <n v="10000"/>
        <n v="10200"/>
        <n v="25000"/>
        <n v="26000"/>
        <n v="6000"/>
        <n v="6200"/>
        <n v="15500"/>
        <n v="20500"/>
        <n v="9000"/>
        <n v="8800"/>
        <n v="1500"/>
        <n v="1800"/>
        <n v="4000"/>
        <n v="11500"/>
        <n v="28000"/>
        <n v="35000"/>
        <n v="34000"/>
        <n v="40000"/>
        <n v="39000"/>
      </sharedItems>
    </cacheField>
    <cacheField name="Remote Status" numFmtId="0">
      <sharedItems count="2">
        <s v="Remote"/>
        <s v="Offic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E101"/>
    <s v="John Smith"/>
    <x v="0"/>
    <x v="0"/>
    <n v="65000"/>
    <s v="Excellent"/>
    <x v="0"/>
    <x v="0"/>
  </r>
  <r>
    <s v="E102"/>
    <s v="Jane Doe"/>
    <x v="0"/>
    <x v="1"/>
    <n v="62000"/>
    <s v="Good"/>
    <x v="1"/>
    <x v="1"/>
  </r>
  <r>
    <s v="E103"/>
    <s v="Robert Brown"/>
    <x v="0"/>
    <x v="2"/>
    <n v="68000"/>
    <s v="Okay"/>
    <x v="2"/>
    <x v="0"/>
  </r>
  <r>
    <s v="E104"/>
    <s v="Alice Johnson"/>
    <x v="1"/>
    <x v="3"/>
    <n v="72000"/>
    <s v="Excellent"/>
    <x v="3"/>
    <x v="1"/>
  </r>
  <r>
    <s v="E105"/>
    <s v="Michael Wilson"/>
    <x v="1"/>
    <x v="3"/>
    <n v="70000"/>
    <s v="Great"/>
    <x v="4"/>
    <x v="0"/>
  </r>
  <r>
    <s v="E106"/>
    <s v="Sarah-Jane Smith"/>
    <x v="1"/>
    <x v="4"/>
    <n v="71000"/>
    <s v="Excellent"/>
    <x v="5"/>
    <x v="0"/>
  </r>
  <r>
    <s v="E107"/>
    <s v="James Bond"/>
    <x v="2"/>
    <x v="5"/>
    <n v="95000"/>
    <s v="Good"/>
    <x v="6"/>
    <x v="1"/>
  </r>
  <r>
    <s v="E108"/>
    <s v="Emily Davis"/>
    <x v="2"/>
    <x v="5"/>
    <n v="92000"/>
    <s v="Okay"/>
    <x v="6"/>
    <x v="1"/>
  </r>
  <r>
    <s v="E109"/>
    <s v="Robert Brown"/>
    <x v="0"/>
    <x v="2"/>
    <n v="68000"/>
    <s v="Okay"/>
    <x v="2"/>
    <x v="0"/>
  </r>
  <r>
    <s v="E110"/>
    <s v="Chris Evans"/>
    <x v="3"/>
    <x v="6"/>
    <n v="55000"/>
    <s v="Poor"/>
    <x v="6"/>
    <x v="1"/>
  </r>
  <r>
    <s v="E111"/>
    <s v="Jessica Alba"/>
    <x v="3"/>
    <x v="6"/>
    <n v="58000"/>
    <s v="Good"/>
    <x v="6"/>
    <x v="1"/>
  </r>
  <r>
    <s v="E112"/>
    <s v="David Miller"/>
    <x v="0"/>
    <x v="7"/>
    <n v="60000"/>
    <s v="Excellent"/>
    <x v="7"/>
    <x v="0"/>
  </r>
  <r>
    <s v="E113"/>
    <s v="Brie Larson"/>
    <x v="0"/>
    <x v="7"/>
    <n v="61000"/>
    <s v="Good"/>
    <x v="8"/>
    <x v="0"/>
  </r>
  <r>
    <s v="E114"/>
    <s v="Tom Hardy"/>
    <x v="1"/>
    <x v="8"/>
    <n v="75000"/>
    <s v="Excellent"/>
    <x v="9"/>
    <x v="1"/>
  </r>
  <r>
    <s v="E115"/>
    <s v="Scarlett Johansson"/>
    <x v="1"/>
    <x v="8"/>
    <n v="77000"/>
    <s v="Excellent"/>
    <x v="10"/>
    <x v="0"/>
  </r>
  <r>
    <s v="E116"/>
    <s v="Mark Ruffalo"/>
    <x v="2"/>
    <x v="9"/>
    <n v="88000"/>
    <s v="Okay"/>
    <x v="6"/>
    <x v="0"/>
  </r>
  <r>
    <s v="E117"/>
    <s v="Paul Rudd"/>
    <x v="2"/>
    <x v="9"/>
    <n v="85000"/>
    <s v="Great"/>
    <x v="6"/>
    <x v="1"/>
  </r>
  <r>
    <s v="E118"/>
    <s v="Jeremy Renner"/>
    <x v="0"/>
    <x v="10"/>
    <n v="59000"/>
    <s v="Good"/>
    <x v="11"/>
    <x v="1"/>
  </r>
  <r>
    <s v="E119"/>
    <s v="Elizabeth Olsen"/>
    <x v="0"/>
    <x v="10"/>
    <n v="60000"/>
    <s v="Okay"/>
    <x v="12"/>
    <x v="0"/>
  </r>
  <r>
    <s v="E120"/>
    <s v="Chadwick Boseman"/>
    <x v="3"/>
    <x v="11"/>
    <n v="110000"/>
    <s v="Excellent"/>
    <x v="6"/>
    <x v="1"/>
  </r>
  <r>
    <s v="E121"/>
    <s v="Benedict Cumberbatch"/>
    <x v="2"/>
    <x v="11"/>
    <n v="105000"/>
    <s v="Excellent"/>
    <x v="6"/>
    <x v="1"/>
  </r>
  <r>
    <s v="E122"/>
    <s v="Tom Holland"/>
    <x v="1"/>
    <x v="12"/>
    <n v="50000"/>
    <s v="Good"/>
    <x v="13"/>
    <x v="0"/>
  </r>
  <r>
    <s v="E123"/>
    <s v="Zendaya Coleman"/>
    <x v="1"/>
    <x v="13"/>
    <n v="52000"/>
    <s v="Excellent"/>
    <x v="14"/>
    <x v="0"/>
  </r>
  <r>
    <s v="E124"/>
    <s v="Idris Elba"/>
    <x v="0"/>
    <x v="14"/>
    <n v="82000"/>
    <s v="Okay"/>
    <x v="4"/>
    <x v="1"/>
  </r>
  <r>
    <s v="E125"/>
    <s v="Henry Cavill"/>
    <x v="0"/>
    <x v="14"/>
    <n v="80000"/>
    <s v="Great"/>
    <x v="15"/>
    <x v="1"/>
  </r>
  <r>
    <s v="E126"/>
    <s v="Gal Gadot"/>
    <x v="1"/>
    <x v="15"/>
    <n v="90000"/>
    <s v="Excellent"/>
    <x v="16"/>
    <x v="0"/>
  </r>
  <r>
    <s v="E127"/>
    <s v="Jason Momoa"/>
    <x v="2"/>
    <x v="16"/>
    <n v="95000"/>
    <s v="Good"/>
    <x v="6"/>
    <x v="0"/>
  </r>
  <r>
    <s v="E128"/>
    <s v="Ben Affleck"/>
    <x v="3"/>
    <x v="17"/>
    <n v="120000"/>
    <s v="Okay"/>
    <x v="6"/>
    <x v="1"/>
  </r>
  <r>
    <s v="E129"/>
    <s v="Christian Bale"/>
    <x v="3"/>
    <x v="17"/>
    <n v="125000"/>
    <s v="Excellent"/>
    <x v="6"/>
    <x v="1"/>
  </r>
  <r>
    <s v="E130"/>
    <s v="Anne Hathaway"/>
    <x v="0"/>
    <x v="18"/>
    <n v="64000"/>
    <s v="Good"/>
    <x v="17"/>
    <x v="0"/>
  </r>
  <r>
    <s v="E131"/>
    <s v="Matthew Mcconaughey"/>
    <x v="0"/>
    <x v="18"/>
    <n v="65000"/>
    <s v="Okay"/>
    <x v="18"/>
    <x v="0"/>
  </r>
  <r>
    <s v="E132"/>
    <s v="Leonardo Dicaprio"/>
    <x v="1"/>
    <x v="19"/>
    <n v="130000"/>
    <s v="Excellent"/>
    <x v="19"/>
    <x v="1"/>
  </r>
  <r>
    <s v="E133"/>
    <s v="Brad Pitt"/>
    <x v="1"/>
    <x v="19"/>
    <n v="135000"/>
    <s v="Excellent"/>
    <x v="20"/>
    <x v="1"/>
  </r>
  <r>
    <s v="E134"/>
    <s v="Matt Damon"/>
    <x v="2"/>
    <x v="20"/>
    <n v="110000"/>
    <s v="Okay"/>
    <x v="6"/>
    <x v="0"/>
  </r>
  <r>
    <s v="E135"/>
    <s v="George Clooney"/>
    <x v="2"/>
    <x v="20"/>
    <n v="115000"/>
    <s v="Great"/>
    <x v="6"/>
    <x v="0"/>
  </r>
  <r>
    <s v="E136"/>
    <s v="Julia Roberts"/>
    <x v="3"/>
    <x v="21"/>
    <n v="140000"/>
    <s v="Excellent"/>
    <x v="6"/>
    <x v="1"/>
  </r>
  <r>
    <s v="E137"/>
    <s v="Meryl Streep"/>
    <x v="3"/>
    <x v="21"/>
    <n v="145000"/>
    <s v="Excellent"/>
    <x v="6"/>
    <x v="1"/>
  </r>
  <r>
    <s v="E138"/>
    <s v="Denzel Washington"/>
    <x v="0"/>
    <x v="22"/>
    <n v="88000"/>
    <s v="Good"/>
    <x v="21"/>
    <x v="0"/>
  </r>
  <r>
    <s v="E139"/>
    <s v="Tom Cruise"/>
    <x v="0"/>
    <x v="22"/>
    <n v="90000"/>
    <s v="Okay"/>
    <x v="22"/>
    <x v="0"/>
  </r>
  <r>
    <s v="E140"/>
    <s v="Will Smith"/>
    <x v="1"/>
    <x v="23"/>
    <n v="85000"/>
    <s v="Excellent"/>
    <x v="23"/>
    <x v="1"/>
  </r>
  <r>
    <s v="E141"/>
    <s v="Margot Robbie"/>
    <x v="1"/>
    <x v="24"/>
    <n v="87000"/>
    <s v="Excellent"/>
    <x v="24"/>
    <x v="1"/>
  </r>
  <r>
    <s v="E142"/>
    <s v="Ryan Gosling"/>
    <x v="2"/>
    <x v="25"/>
    <n v="80000"/>
    <s v="Good"/>
    <x v="6"/>
    <x v="0"/>
  </r>
  <r>
    <s v="E143"/>
    <s v="Emma Stone"/>
    <x v="2"/>
    <x v="25"/>
    <n v="82000"/>
    <s v="Okay"/>
    <x v="6"/>
    <x v="0"/>
  </r>
  <r>
    <s v="E144"/>
    <s v="Hugh Jackman"/>
    <x v="3"/>
    <x v="26"/>
    <n v="150000"/>
    <s v="Excellent"/>
    <x v="6"/>
    <x v="1"/>
  </r>
  <r>
    <s v="E145"/>
    <s v="Nicole Kidman"/>
    <x v="3"/>
    <x v="26"/>
    <n v="155000"/>
    <s v="Excellent"/>
    <x v="6"/>
    <x v="1"/>
  </r>
  <r>
    <s v="E146"/>
    <s v="Russell Crowe"/>
    <x v="0"/>
    <x v="27"/>
    <n v="62000"/>
    <s v="Good"/>
    <x v="25"/>
    <x v="0"/>
  </r>
  <r>
    <s v="E147"/>
    <s v="Cate Blanchett"/>
    <x v="0"/>
    <x v="28"/>
    <n v="63000"/>
    <s v="Okay"/>
    <x v="26"/>
    <x v="0"/>
  </r>
  <r>
    <s v="E148"/>
    <s v="Joaquin Phoenix"/>
    <x v="1"/>
    <x v="29"/>
    <n v="100000"/>
    <s v="Excellent"/>
    <x v="27"/>
    <x v="1"/>
  </r>
  <r>
    <s v="E149"/>
    <s v="Charlize Theron"/>
    <x v="1"/>
    <x v="29"/>
    <n v="105000"/>
    <s v="Excellent"/>
    <x v="28"/>
    <x v="1"/>
  </r>
  <r>
    <s v="E150"/>
    <s v="Daniel Craig"/>
    <x v="2"/>
    <x v="30"/>
    <n v="98000"/>
    <s v="Okay"/>
    <x v="6"/>
    <x v="0"/>
  </r>
  <r>
    <s v="E151"/>
    <s v="Jude Law"/>
    <x v="2"/>
    <x v="30"/>
    <n v="95000"/>
    <s v="Great"/>
    <x v="6"/>
    <x v="1"/>
  </r>
  <r>
    <s v="E152"/>
    <s v="Keanu Reeves"/>
    <x v="0"/>
    <x v="31"/>
    <n v="75000"/>
    <s v="Good"/>
    <x v="29"/>
    <x v="1"/>
  </r>
  <r>
    <s v="E153"/>
    <s v="Sandra Bullock"/>
    <x v="0"/>
    <x v="31"/>
    <n v="77000"/>
    <s v="Okay"/>
    <x v="30"/>
    <x v="0"/>
  </r>
  <r>
    <s v="E154"/>
    <s v="Johnny Depp"/>
    <x v="1"/>
    <x v="32"/>
    <n v="120000"/>
    <s v="Excellent"/>
    <x v="31"/>
    <x v="0"/>
  </r>
  <r>
    <s v="E155"/>
    <s v="Penelope Cruz"/>
    <x v="1"/>
    <x v="32"/>
    <n v="125000"/>
    <s v="Excellent"/>
    <x v="32"/>
    <x v="1"/>
  </r>
  <r>
    <s v="E156"/>
    <s v="Robert Downey Jr"/>
    <x v="2"/>
    <x v="33"/>
    <n v="140000"/>
    <s v="Excellent"/>
    <x v="6"/>
    <x v="1"/>
  </r>
  <r>
    <s v="E157"/>
    <s v="Gwyneth Paltrow"/>
    <x v="2"/>
    <x v="33"/>
    <n v="135000"/>
    <s v="Good"/>
    <x v="6"/>
    <x v="0"/>
  </r>
  <r>
    <s v="E158"/>
    <s v="Chris Pratt"/>
    <x v="0"/>
    <x v="34"/>
    <n v="58000"/>
    <s v="Okay"/>
    <x v="33"/>
    <x v="0"/>
  </r>
  <r>
    <s v="E159"/>
    <s v="Zoe Saldana"/>
    <x v="0"/>
    <x v="34"/>
    <n v="60000"/>
    <s v="Good"/>
    <x v="34"/>
    <x v="1"/>
  </r>
  <r>
    <s v="E160"/>
    <s v="Vin Diesel"/>
    <x v="3"/>
    <x v="35"/>
    <n v="170000"/>
    <s v="Excellent"/>
    <x v="6"/>
    <x v="1"/>
  </r>
  <r>
    <s v="E161"/>
    <s v="Michelle Rodriguez"/>
    <x v="3"/>
    <x v="35"/>
    <n v="165000"/>
    <s v="Excellent"/>
    <x v="6"/>
    <x v="0"/>
  </r>
  <r>
    <s v="E162"/>
    <s v="Dwayne Johnson"/>
    <x v="0"/>
    <x v="36"/>
    <n v="95000"/>
    <s v="Good"/>
    <x v="3"/>
    <x v="0"/>
  </r>
  <r>
    <s v="E163"/>
    <s v="Jason Statham"/>
    <x v="0"/>
    <x v="36"/>
    <n v="98000"/>
    <s v="Okay"/>
    <x v="35"/>
    <x v="1"/>
  </r>
  <r>
    <s v="E164"/>
    <s v="Charlize Theron"/>
    <x v="1"/>
    <x v="29"/>
    <n v="100000"/>
    <s v="Excellent"/>
    <x v="27"/>
    <x v="1"/>
  </r>
  <r>
    <s v="E165"/>
    <s v="Emily Blunt"/>
    <x v="1"/>
    <x v="29"/>
    <n v="102000"/>
    <s v="Excellent"/>
    <x v="36"/>
    <x v="0"/>
  </r>
  <r>
    <s v="E166"/>
    <s v="John Krasinski"/>
    <x v="2"/>
    <x v="37"/>
    <n v="85000"/>
    <s v="Good"/>
    <x v="6"/>
    <x v="0"/>
  </r>
  <r>
    <s v="E167"/>
    <s v="Jenna Ortega"/>
    <x v="2"/>
    <x v="37"/>
    <n v="82000"/>
    <s v="Okay"/>
    <x v="6"/>
    <x v="1"/>
  </r>
  <r>
    <s v="E168"/>
    <s v="Pedro Pascal"/>
    <x v="0"/>
    <x v="38"/>
    <n v="66000"/>
    <s v="Excellent"/>
    <x v="37"/>
    <x v="1"/>
  </r>
  <r>
    <s v="E169"/>
    <s v="Bella Ramsey"/>
    <x v="0"/>
    <x v="38"/>
    <n v="64000"/>
    <s v="Good"/>
    <x v="38"/>
    <x v="0"/>
  </r>
  <r>
    <s v="E170"/>
    <s v="Oscar Isaac"/>
    <x v="3"/>
    <x v="39"/>
    <n v="115000"/>
    <s v="Okay"/>
    <x v="6"/>
    <x v="0"/>
  </r>
  <r>
    <s v="E171"/>
    <s v="Florence Pugh"/>
    <x v="3"/>
    <x v="39"/>
    <n v="112000"/>
    <s v="Great"/>
    <x v="6"/>
    <x v="1"/>
  </r>
  <r>
    <s v="E172"/>
    <s v="Austin Butler"/>
    <x v="1"/>
    <x v="40"/>
    <n v="48000"/>
    <s v="Good"/>
    <x v="39"/>
    <x v="1"/>
  </r>
  <r>
    <s v="E173"/>
    <s v="Anya Taylor-Joy"/>
    <x v="1"/>
    <x v="40"/>
    <n v="50000"/>
    <s v="Okay"/>
    <x v="40"/>
    <x v="0"/>
  </r>
  <r>
    <s v="E174"/>
    <s v="Timothee Chalamet"/>
    <x v="0"/>
    <x v="41"/>
    <n v="55000"/>
    <s v="Good"/>
    <x v="41"/>
    <x v="0"/>
  </r>
  <r>
    <s v="E175"/>
    <s v="Zendaya"/>
    <x v="0"/>
    <x v="12"/>
    <n v="50000"/>
    <s v="Good"/>
    <x v="13"/>
    <x v="1"/>
  </r>
  <r>
    <s v="E176"/>
    <s v="Tom Hardy"/>
    <x v="1"/>
    <x v="8"/>
    <n v="75000"/>
    <s v="Excellent"/>
    <x v="9"/>
    <x v="1"/>
  </r>
  <r>
    <s v="E177"/>
    <s v="Cillian Murphy"/>
    <x v="2"/>
    <x v="42"/>
    <n v="110000"/>
    <s v="Excellent"/>
    <x v="6"/>
    <x v="0"/>
  </r>
  <r>
    <s v="E178"/>
    <s v="Emily Blunt"/>
    <x v="1"/>
    <x v="29"/>
    <n v="102000"/>
    <s v="Excellent"/>
    <x v="36"/>
    <x v="0"/>
  </r>
  <r>
    <s v="E179"/>
    <s v="Matt Damon"/>
    <x v="2"/>
    <x v="20"/>
    <n v="110000"/>
    <s v="Okay"/>
    <x v="6"/>
    <x v="0"/>
  </r>
  <r>
    <s v="E180"/>
    <s v="Viola Davis"/>
    <x v="3"/>
    <x v="43"/>
    <n v="155000"/>
    <s v="Excellent"/>
    <x v="6"/>
    <x v="1"/>
  </r>
  <r>
    <s v="E181"/>
    <s v="Meryl Streep"/>
    <x v="3"/>
    <x v="21"/>
    <n v="140000"/>
    <s v="Excellent"/>
    <x v="6"/>
    <x v="1"/>
  </r>
  <r>
    <s v="E182"/>
    <s v="Adam Driver"/>
    <x v="0"/>
    <x v="44"/>
    <n v="84000"/>
    <s v="Good"/>
    <x v="0"/>
    <x v="0"/>
  </r>
  <r>
    <s v="E183"/>
    <s v="Andrew Garfield"/>
    <x v="0"/>
    <x v="44"/>
    <n v="82000"/>
    <s v="Okay"/>
    <x v="42"/>
    <x v="0"/>
  </r>
  <r>
    <s v="E184"/>
    <s v="Tobey Maguire"/>
    <x v="1"/>
    <x v="45"/>
    <n v="92000"/>
    <s v="Excellent"/>
    <x v="28"/>
    <x v="1"/>
  </r>
  <r>
    <s v="E185"/>
    <s v="Tom Holland"/>
    <x v="1"/>
    <x v="12"/>
    <n v="50000"/>
    <s v="Good"/>
    <x v="13"/>
    <x v="0"/>
  </r>
  <r>
    <s v="E186"/>
    <s v="Natalie Portman"/>
    <x v="2"/>
    <x v="46"/>
    <n v="118000"/>
    <s v="Excellent"/>
    <x v="6"/>
    <x v="1"/>
  </r>
  <r>
    <s v="E187"/>
    <s v="Keira Knightley"/>
    <x v="2"/>
    <x v="46"/>
    <n v="115000"/>
    <s v="Good"/>
    <x v="6"/>
    <x v="0"/>
  </r>
  <r>
    <s v="E188"/>
    <s v="Christian Bale"/>
    <x v="3"/>
    <x v="17"/>
    <n v="120000"/>
    <s v="Okay"/>
    <x v="6"/>
    <x v="1"/>
  </r>
  <r>
    <s v="E189"/>
    <s v="Gary Oldman"/>
    <x v="0"/>
    <x v="47"/>
    <n v="100000"/>
    <s v="Excellent"/>
    <x v="27"/>
    <x v="0"/>
  </r>
  <r>
    <s v="E190"/>
    <s v="Heath Ledger"/>
    <x v="0"/>
    <x v="47"/>
    <n v="105000"/>
    <s v="Excellent"/>
    <x v="36"/>
    <x v="1"/>
  </r>
  <r>
    <s v="E191"/>
    <s v="Jack Nicholson"/>
    <x v="1"/>
    <x v="48"/>
    <n v="130000"/>
    <s v="Okay"/>
    <x v="43"/>
    <x v="1"/>
  </r>
  <r>
    <s v="E192"/>
    <s v="Morgan Freeman"/>
    <x v="2"/>
    <x v="48"/>
    <n v="135000"/>
    <s v="Excellent"/>
    <x v="6"/>
    <x v="0"/>
  </r>
  <r>
    <s v="E193"/>
    <s v="Samuel L Jackson"/>
    <x v="3"/>
    <x v="49"/>
    <n v="145000"/>
    <s v="Good"/>
    <x v="6"/>
    <x v="0"/>
  </r>
  <r>
    <s v="E194"/>
    <s v="Anthony Hopkins"/>
    <x v="0"/>
    <x v="50"/>
    <n v="160000"/>
    <s v="Excellent"/>
    <x v="44"/>
    <x v="1"/>
  </r>
  <r>
    <s v="E195"/>
    <s v="Al Pacino"/>
    <x v="0"/>
    <x v="50"/>
    <n v="155000"/>
    <s v="Okay"/>
    <x v="45"/>
    <x v="0"/>
  </r>
  <r>
    <s v="E196"/>
    <s v="Robert De Niro"/>
    <x v="1"/>
    <x v="51"/>
    <n v="180000"/>
    <s v="Excellent"/>
    <x v="46"/>
    <x v="1"/>
  </r>
  <r>
    <s v="E197"/>
    <s v="Joe Pesci"/>
    <x v="1"/>
    <x v="51"/>
    <n v="175000"/>
    <s v="Excellent"/>
    <x v="47"/>
    <x v="0"/>
  </r>
  <r>
    <s v="E198"/>
    <s v="Leonardo Dicaprio"/>
    <x v="1"/>
    <x v="19"/>
    <n v="130000"/>
    <s v="Excellent"/>
    <x v="19"/>
    <x v="1"/>
  </r>
  <r>
    <s v="E199"/>
    <s v="Kate Winslet"/>
    <x v="2"/>
    <x v="52"/>
    <n v="92000"/>
    <s v="Good"/>
    <x v="6"/>
    <x v="0"/>
  </r>
  <r>
    <s v="E200"/>
    <s v="Sigourney Weaver"/>
    <x v="3"/>
    <x v="52"/>
    <n v="95000"/>
    <s v="Okay"/>
    <x v="6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4EF004-BFF9-48CC-B887-4E9A0049390F}" name="PivotTable1" cacheId="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Remote Status">
  <location ref="A78:C89" firstHeaderRow="0" firstDataRow="1" firstDataCol="1"/>
  <pivotFields count="8">
    <pivotField dataField="1" showAll="0"/>
    <pivotField showAll="0"/>
    <pivotField axis="axisRow" showAll="0" sortType="descending">
      <items count="5">
        <item x="3"/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65" showAll="0"/>
    <pivotField showAll="0"/>
    <pivotField dataField="1" numFmtId="165" showAll="0"/>
    <pivotField axis="axisRow" showAll="0">
      <items count="3">
        <item x="1"/>
        <item x="0"/>
        <item t="default"/>
      </items>
    </pivotField>
  </pivotFields>
  <rowFields count="2">
    <field x="7"/>
    <field x="2"/>
  </rowFields>
  <rowItems count="11">
    <i>
      <x/>
    </i>
    <i r="1">
      <x v="2"/>
    </i>
    <i r="1">
      <x/>
    </i>
    <i r="1">
      <x v="3"/>
    </i>
    <i r="1">
      <x v="1"/>
    </i>
    <i>
      <x v="1"/>
    </i>
    <i r="1">
      <x v="3"/>
    </i>
    <i r="1">
      <x v="1"/>
    </i>
    <i r="1">
      <x v="2"/>
    </i>
    <i r="1"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Per Department" fld="0" subtotal="count" baseField="0" baseItem="0"/>
    <dataField name="Sales Per Department" fld="6" baseField="0" baseItem="0" numFmtId="165"/>
  </dataFields>
  <formats count="9">
    <format dxfId="6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46">
      <pivotArea type="all" dataOnly="0" outline="0" fieldPosition="0"/>
    </format>
    <format dxfId="45">
      <pivotArea outline="0" collapsedLevelsAreSubtotals="1" fieldPosition="0"/>
    </format>
    <format dxfId="44">
      <pivotArea field="7" type="button" dataOnly="0" labelOnly="1" outline="0" axis="axisRow" fieldPosition="0"/>
    </format>
    <format dxfId="43">
      <pivotArea dataOnly="0" labelOnly="1" fieldPosition="0">
        <references count="1">
          <reference field="7" count="0"/>
        </references>
      </pivotArea>
    </format>
    <format dxfId="42">
      <pivotArea dataOnly="0" labelOnly="1" grandRow="1" outline="0" fieldPosition="0"/>
    </format>
    <format dxfId="41">
      <pivotArea dataOnly="0" labelOnly="1" fieldPosition="0">
        <references count="2">
          <reference field="2" count="0"/>
          <reference field="7" count="1" selected="0">
            <x v="0"/>
          </reference>
        </references>
      </pivotArea>
    </format>
    <format dxfId="40">
      <pivotArea dataOnly="0" labelOnly="1" fieldPosition="0">
        <references count="2">
          <reference field="2" count="0"/>
          <reference field="7" count="1" selected="0">
            <x v="1"/>
          </reference>
        </references>
      </pivotArea>
    </format>
    <format dxfId="3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Medium15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8BEBF2-B0AF-41B1-A088-774D6F2520AB}" name="PivotTable50" cacheId="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 rowHeaderCaption="Hire Date">
  <location ref="A22:B76" firstHeaderRow="1" firstDataRow="1" firstDataCol="1"/>
  <pivotFields count="8">
    <pivotField showAll="0"/>
    <pivotField showAll="0"/>
    <pivotField showAll="0"/>
    <pivotField axis="axisRow" dataField="1" showAll="0" sortType="ascending">
      <items count="54">
        <item x="35"/>
        <item x="47"/>
        <item x="28"/>
        <item x="12"/>
        <item x="2"/>
        <item x="0"/>
        <item x="25"/>
        <item x="1"/>
        <item x="49"/>
        <item x="38"/>
        <item x="40"/>
        <item x="32"/>
        <item x="14"/>
        <item x="20"/>
        <item x="36"/>
        <item x="6"/>
        <item x="27"/>
        <item x="33"/>
        <item x="15"/>
        <item x="44"/>
        <item x="13"/>
        <item x="48"/>
        <item x="4"/>
        <item x="7"/>
        <item x="30"/>
        <item x="19"/>
        <item x="39"/>
        <item x="5"/>
        <item x="41"/>
        <item x="22"/>
        <item x="42"/>
        <item x="34"/>
        <item x="17"/>
        <item x="51"/>
        <item x="37"/>
        <item x="26"/>
        <item x="8"/>
        <item x="46"/>
        <item x="23"/>
        <item x="10"/>
        <item x="11"/>
        <item x="50"/>
        <item x="29"/>
        <item x="3"/>
        <item x="43"/>
        <item x="18"/>
        <item x="52"/>
        <item x="9"/>
        <item x="16"/>
        <item x="21"/>
        <item x="24"/>
        <item x="31"/>
        <item x="45"/>
        <item t="default"/>
      </items>
    </pivotField>
    <pivotField numFmtId="165" showAll="0"/>
    <pivotField showAll="0"/>
    <pivotField numFmtId="165" showAll="0"/>
    <pivotField showAll="0"/>
  </pivotFields>
  <rowFields count="1">
    <field x="3"/>
  </rowFields>
  <rowItems count="5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 t="grand">
      <x/>
    </i>
  </rowItems>
  <colItems count="1">
    <i/>
  </colItems>
  <dataFields count="1">
    <dataField name="Employees Hired" fld="3" subtotal="count" baseField="0" baseItem="0"/>
  </dataFields>
  <formats count="7">
    <format dxfId="38">
      <pivotArea type="all" dataOnly="0" outline="0" fieldPosition="0"/>
    </format>
    <format dxfId="37">
      <pivotArea outline="0" collapsedLevelsAreSubtotals="1" fieldPosition="0"/>
    </format>
    <format dxfId="36">
      <pivotArea field="3" type="button" dataOnly="0" labelOnly="1" outline="0" axis="axisRow" fieldPosition="0"/>
    </format>
    <format dxfId="35">
      <pivotArea dataOnly="0" labelOnly="1" fieldPosition="0">
        <references count="1">
          <reference field="3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34">
      <pivotArea dataOnly="0" labelOnly="1" fieldPosition="0">
        <references count="1">
          <reference field="3" count="3">
            <x v="50"/>
            <x v="51"/>
            <x v="52"/>
          </reference>
        </references>
      </pivotArea>
    </format>
    <format dxfId="33">
      <pivotArea dataOnly="0" labelOnly="1" grandRow="1" outline="0" fieldPosition="0"/>
    </format>
    <format dxfId="32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5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A0AC9E-DE1C-4389-BBEB-92219EC7BDEA}" name="PivotTable19" cacheId="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Departments">
  <location ref="A15:B20" firstHeaderRow="1" firstDataRow="1" firstDataCol="1"/>
  <pivotFields count="8">
    <pivotField showAll="0"/>
    <pivotField showAll="0"/>
    <pivotField axis="axisRow" showAll="0" sortType="descending">
      <items count="5">
        <item x="3"/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65" showAll="0"/>
    <pivotField showAll="0"/>
    <pivotField dataField="1" numFmtId="165" showAll="0"/>
    <pivotField showAll="0"/>
  </pivotFields>
  <rowFields count="1">
    <field x="2"/>
  </rowFields>
  <rowItems count="5">
    <i>
      <x v="2"/>
    </i>
    <i>
      <x v="3"/>
    </i>
    <i>
      <x/>
    </i>
    <i>
      <x v="1"/>
    </i>
    <i t="grand">
      <x/>
    </i>
  </rowItems>
  <colItems count="1">
    <i/>
  </colItems>
  <dataFields count="1">
    <dataField name="Sales made" fld="6" baseField="0" baseItem="0" numFmtId="165"/>
  </dataFields>
  <formats count="7">
    <format dxfId="62">
      <pivotArea outline="0" collapsedLevelsAreSubtotals="1" fieldPosition="0"/>
    </format>
    <format dxfId="30">
      <pivotArea type="all" dataOnly="0" outline="0" fieldPosition="0"/>
    </format>
    <format dxfId="29">
      <pivotArea outline="0" collapsedLevelsAreSubtotals="1" fieldPosition="0"/>
    </format>
    <format dxfId="28">
      <pivotArea field="2" type="button" dataOnly="0" labelOnly="1" outline="0" axis="axisRow" fieldPosition="0"/>
    </format>
    <format dxfId="27">
      <pivotArea dataOnly="0" labelOnly="1" fieldPosition="0">
        <references count="1">
          <reference field="2" count="0"/>
        </references>
      </pivotArea>
    </format>
    <format dxfId="26">
      <pivotArea dataOnly="0" labelOnly="1" grandRow="1" outline="0" fieldPosition="0"/>
    </format>
    <format dxfId="25">
      <pivotArea dataOnly="0" labelOnly="1" outline="0" axis="axisValues" fieldPosition="0"/>
    </format>
  </formats>
  <pivotTableStyleInfo name="PivotStyleMedium15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17AA30-5164-4E26-A7B1-4828135FDF75}" name="PivotTable4" cacheId="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Departments">
  <location ref="A8:B13" firstHeaderRow="1" firstDataRow="1" firstDataCol="1"/>
  <pivotFields count="8">
    <pivotField showAll="0"/>
    <pivotField showAll="0"/>
    <pivotField axis="axisRow" showAll="0" sortType="descending">
      <items count="5">
        <item x="3"/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numFmtId="165" showAll="0"/>
    <pivotField showAll="0"/>
    <pivotField numFmtId="165"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Salary" fld="4" subtotal="average" baseField="2" baseItem="0"/>
  </dataFields>
  <formats count="8">
    <format dxfId="60">
      <pivotArea collapsedLevelsAreSubtotals="1" fieldPosition="0">
        <references count="1">
          <reference field="2" count="0"/>
        </references>
      </pivotArea>
    </format>
    <format dxfId="61">
      <pivotArea grandRow="1" outline="0" collapsedLevelsAreSubtotals="1" fieldPosition="0"/>
    </format>
    <format dxfId="23">
      <pivotArea type="all" dataOnly="0" outline="0" fieldPosition="0"/>
    </format>
    <format dxfId="22">
      <pivotArea outline="0" collapsedLevelsAreSubtotals="1" fieldPosition="0"/>
    </format>
    <format dxfId="21">
      <pivotArea field="2" type="button" dataOnly="0" labelOnly="1" outline="0" axis="axisRow" fieldPosition="0"/>
    </format>
    <format dxfId="20">
      <pivotArea dataOnly="0" labelOnly="1" fieldPosition="0">
        <references count="1">
          <reference field="2" count="0"/>
        </references>
      </pivotArea>
    </format>
    <format dxfId="19">
      <pivotArea dataOnly="0" labelOnly="1" grandRow="1" outline="0" fieldPosition="0"/>
    </format>
    <format dxfId="18">
      <pivotArea dataOnly="0" labelOnly="1" outline="0" axis="axisValues" fieldPosition="0"/>
    </format>
  </formats>
  <pivotTableStyleInfo name="PivotStyleMedium15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009B9F-96E0-4ECD-8D44-522D83D06B70}" name="DepartmentsSize" cacheId="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Departments">
  <location ref="A1:B6" firstHeaderRow="1" firstDataRow="1" firstDataCol="1"/>
  <pivotFields count="8">
    <pivotField dataField="1" showAll="0"/>
    <pivotField showAll="0"/>
    <pivotField axis="axisRow" showAll="0" sortType="descending">
      <items count="5">
        <item x="3"/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54">
        <item x="35"/>
        <item x="47"/>
        <item x="28"/>
        <item x="12"/>
        <item x="2"/>
        <item x="0"/>
        <item x="25"/>
        <item x="1"/>
        <item x="49"/>
        <item x="38"/>
        <item x="40"/>
        <item x="32"/>
        <item x="14"/>
        <item x="20"/>
        <item x="36"/>
        <item x="6"/>
        <item x="27"/>
        <item x="33"/>
        <item x="15"/>
        <item x="44"/>
        <item x="13"/>
        <item x="48"/>
        <item x="4"/>
        <item x="7"/>
        <item x="30"/>
        <item x="19"/>
        <item x="39"/>
        <item x="5"/>
        <item x="41"/>
        <item x="22"/>
        <item x="42"/>
        <item x="34"/>
        <item x="17"/>
        <item x="51"/>
        <item x="37"/>
        <item x="26"/>
        <item x="8"/>
        <item x="46"/>
        <item x="23"/>
        <item x="10"/>
        <item x="11"/>
        <item x="50"/>
        <item x="29"/>
        <item x="3"/>
        <item x="43"/>
        <item x="18"/>
        <item x="52"/>
        <item x="9"/>
        <item x="16"/>
        <item x="21"/>
        <item x="24"/>
        <item x="31"/>
        <item x="45"/>
        <item t="default"/>
      </items>
    </pivotField>
    <pivotField numFmtId="165" showAll="0"/>
    <pivotField showAll="0"/>
    <pivotField numFmtId="165" showAll="0"/>
    <pivotField showAll="0"/>
  </pivotFields>
  <rowFields count="1">
    <field x="2"/>
  </rowFields>
  <rowItems count="5">
    <i>
      <x v="3"/>
    </i>
    <i>
      <x v="2"/>
    </i>
    <i>
      <x v="1"/>
    </i>
    <i>
      <x/>
    </i>
    <i t="grand">
      <x/>
    </i>
  </rowItems>
  <colItems count="1">
    <i/>
  </colItems>
  <dataFields count="1">
    <dataField name="Department Size" fld="0" subtotal="count" baseField="0" baseItem="0"/>
  </dataFields>
  <formats count="6">
    <format dxfId="16">
      <pivotArea type="all" dataOnly="0" outline="0" fieldPosition="0"/>
    </format>
    <format dxfId="15">
      <pivotArea outline="0" collapsedLevelsAreSubtotals="1" fieldPosition="0"/>
    </format>
    <format dxfId="14">
      <pivotArea field="2" type="button" dataOnly="0" labelOnly="1" outline="0" axis="axisRow" fieldPosition="0"/>
    </format>
    <format dxfId="13">
      <pivotArea dataOnly="0" labelOnly="1" fieldPosition="0">
        <references count="1">
          <reference field="2" count="0"/>
        </references>
      </pivotArea>
    </format>
    <format dxfId="12">
      <pivotArea dataOnly="0" labelOnly="1" grandRow="1" outline="0" fieldPosition="0"/>
    </format>
    <format dxfId="11">
      <pivotArea dataOnly="0" labelOnly="1" outline="0" axis="axisValues" fieldPosition="0"/>
    </format>
  </formats>
  <pivotTableStyleInfo name="PivotStyleMedium15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B5321F-8FA8-4A48-8000-FE71235161C2}" name="Table1" displayName="Table1" ref="A1:H101" totalsRowShown="0" headerRowDxfId="1" dataDxfId="0">
  <autoFilter ref="A1:H101" xr:uid="{54B5321F-8FA8-4A48-8000-FE71235161C2}"/>
  <sortState xmlns:xlrd2="http://schemas.microsoft.com/office/spreadsheetml/2017/richdata2" ref="A2:H101">
    <sortCondition ref="A1:A101"/>
  </sortState>
  <tableColumns count="8">
    <tableColumn id="1" xr3:uid="{B742BDF6-F45E-47EA-9BFA-4A00841671A7}" name="Employee Id" dataDxfId="9"/>
    <tableColumn id="2" xr3:uid="{1CB860DF-02A3-4CD8-902C-1F624E471B9A}" name="Full Name" dataDxfId="8"/>
    <tableColumn id="3" xr3:uid="{2242413C-7D81-4782-9156-DD8E3F5C5063}" name="Department" dataDxfId="7"/>
    <tableColumn id="4" xr3:uid="{7013CC58-B8DC-4B61-98E2-77D242AE16C5}" name="Hire Date" dataDxfId="6"/>
    <tableColumn id="5" xr3:uid="{E70CA3C3-E6B8-4441-9189-BE8151E0B8F4}" name="Salary" dataDxfId="5"/>
    <tableColumn id="6" xr3:uid="{5964B58C-5574-4D8C-9D9A-D50CDBCBED4A}" name="Performance Score" dataDxfId="4"/>
    <tableColumn id="7" xr3:uid="{4262AF36-66A1-4350-8713-EC56A9D2E285}" name="Total Sales 2025" dataDxfId="3"/>
    <tableColumn id="8" xr3:uid="{60C8B8B1-4611-4249-A3B8-D02071C0F1CA}" name="Remote Status" dataDxfId="2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rinterSettings" Target="../printerSettings/printerSettings3.bin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"/>
  <sheetViews>
    <sheetView tabSelected="1" zoomScaleNormal="100" workbookViewId="0"/>
  </sheetViews>
  <sheetFormatPr defaultColWidth="11.5546875" defaultRowHeight="13.8" x14ac:dyDescent="0.3"/>
  <cols>
    <col min="1" max="1" width="12.44140625" style="1" customWidth="1"/>
    <col min="2" max="2" width="19.88671875" style="1" customWidth="1"/>
    <col min="3" max="3" width="16.44140625" style="1" customWidth="1"/>
    <col min="4" max="4" width="11.44140625" style="1" customWidth="1"/>
    <col min="5" max="5" width="8" style="1" customWidth="1"/>
    <col min="6" max="6" width="17.5546875" style="1" customWidth="1"/>
    <col min="7" max="7" width="16" style="1" customWidth="1"/>
    <col min="8" max="8" width="14.109375" style="1" customWidth="1"/>
    <col min="9" max="16384" width="11.5546875" style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1" t="s">
        <v>8</v>
      </c>
      <c r="B2" s="1" t="s">
        <v>9</v>
      </c>
      <c r="C2" s="1" t="s">
        <v>10</v>
      </c>
      <c r="D2" s="2">
        <v>44941</v>
      </c>
      <c r="E2" s="3" t="s">
        <v>11</v>
      </c>
      <c r="F2" s="1" t="s">
        <v>12</v>
      </c>
      <c r="G2" s="1">
        <v>12000</v>
      </c>
      <c r="H2" s="1" t="s">
        <v>13</v>
      </c>
    </row>
    <row r="3" spans="1:8" x14ac:dyDescent="0.3">
      <c r="A3" s="1" t="s">
        <v>14</v>
      </c>
      <c r="B3" s="1" t="s">
        <v>15</v>
      </c>
      <c r="C3" s="1" t="s">
        <v>16</v>
      </c>
      <c r="D3" s="3" t="s">
        <v>17</v>
      </c>
      <c r="E3" s="1" t="s">
        <v>18</v>
      </c>
      <c r="F3" s="1" t="s">
        <v>19</v>
      </c>
      <c r="G3" s="1">
        <v>8500</v>
      </c>
      <c r="H3" s="1" t="s">
        <v>20</v>
      </c>
    </row>
    <row r="4" spans="1:8" x14ac:dyDescent="0.3">
      <c r="A4" s="1" t="s">
        <v>21</v>
      </c>
      <c r="B4" s="1" t="s">
        <v>22</v>
      </c>
      <c r="C4" s="1" t="s">
        <v>23</v>
      </c>
      <c r="D4" s="3" t="s">
        <v>24</v>
      </c>
      <c r="E4" s="1">
        <v>68000</v>
      </c>
      <c r="F4" s="1" t="s">
        <v>25</v>
      </c>
      <c r="G4" s="1">
        <v>9200</v>
      </c>
      <c r="H4" s="1">
        <v>1</v>
      </c>
    </row>
    <row r="5" spans="1:8" x14ac:dyDescent="0.3">
      <c r="A5" s="1" t="s">
        <v>26</v>
      </c>
      <c r="B5" s="1" t="s">
        <v>27</v>
      </c>
      <c r="C5" s="1" t="s">
        <v>28</v>
      </c>
      <c r="D5" s="2">
        <v>44870</v>
      </c>
      <c r="E5" s="3" t="s">
        <v>29</v>
      </c>
      <c r="F5" s="1" t="s">
        <v>30</v>
      </c>
      <c r="G5" s="1">
        <v>15000</v>
      </c>
      <c r="H5" s="1" t="s">
        <v>31</v>
      </c>
    </row>
    <row r="6" spans="1:8" x14ac:dyDescent="0.3">
      <c r="A6" s="1" t="s">
        <v>32</v>
      </c>
      <c r="B6" s="1" t="s">
        <v>33</v>
      </c>
      <c r="C6" s="1" t="s">
        <v>34</v>
      </c>
      <c r="D6" s="3" t="s">
        <v>35</v>
      </c>
      <c r="E6" s="1" t="s">
        <v>36</v>
      </c>
      <c r="F6" s="1">
        <v>4</v>
      </c>
      <c r="G6" s="1">
        <v>11000</v>
      </c>
      <c r="H6" s="1" t="s">
        <v>13</v>
      </c>
    </row>
    <row r="7" spans="1:8" x14ac:dyDescent="0.3">
      <c r="A7" s="1" t="s">
        <v>37</v>
      </c>
      <c r="B7" s="1" t="s">
        <v>38</v>
      </c>
      <c r="C7" s="1" t="s">
        <v>28</v>
      </c>
      <c r="D7" s="1" t="s">
        <v>39</v>
      </c>
      <c r="E7" s="1">
        <v>71000</v>
      </c>
      <c r="F7" s="3" t="s">
        <v>40</v>
      </c>
      <c r="G7" s="1">
        <v>13500</v>
      </c>
      <c r="H7" s="1" t="s">
        <v>41</v>
      </c>
    </row>
    <row r="8" spans="1:8" x14ac:dyDescent="0.3">
      <c r="A8" s="1" t="s">
        <v>42</v>
      </c>
      <c r="B8" s="1" t="s">
        <v>43</v>
      </c>
      <c r="C8" s="1" t="s">
        <v>44</v>
      </c>
      <c r="D8" s="2">
        <v>44357</v>
      </c>
      <c r="E8" s="1">
        <v>95000</v>
      </c>
      <c r="F8" s="1" t="s">
        <v>19</v>
      </c>
      <c r="G8" s="1">
        <v>0</v>
      </c>
      <c r="H8" s="1" t="s">
        <v>20</v>
      </c>
    </row>
    <row r="9" spans="1:8" x14ac:dyDescent="0.3">
      <c r="A9" s="1" t="s">
        <v>45</v>
      </c>
      <c r="B9" s="1" t="s">
        <v>46</v>
      </c>
      <c r="C9" s="1" t="s">
        <v>47</v>
      </c>
      <c r="D9" s="3" t="s">
        <v>48</v>
      </c>
      <c r="E9" s="1" t="s">
        <v>49</v>
      </c>
      <c r="F9" s="1" t="s">
        <v>25</v>
      </c>
      <c r="G9" s="1">
        <v>0</v>
      </c>
      <c r="H9" s="1">
        <v>0</v>
      </c>
    </row>
    <row r="10" spans="1:8" x14ac:dyDescent="0.3">
      <c r="A10" s="1" t="s">
        <v>50</v>
      </c>
      <c r="B10" s="1" t="s">
        <v>51</v>
      </c>
      <c r="C10" s="1" t="s">
        <v>10</v>
      </c>
      <c r="D10" s="2">
        <v>44938</v>
      </c>
      <c r="E10" s="3" t="s">
        <v>52</v>
      </c>
      <c r="F10" s="1" t="s">
        <v>25</v>
      </c>
      <c r="G10" s="1">
        <v>9200</v>
      </c>
      <c r="H10" s="1">
        <v>1</v>
      </c>
    </row>
    <row r="11" spans="1:8" x14ac:dyDescent="0.3">
      <c r="A11" s="1" t="s">
        <v>53</v>
      </c>
      <c r="B11" s="1" t="s">
        <v>54</v>
      </c>
      <c r="C11" s="1" t="s">
        <v>55</v>
      </c>
      <c r="D11" s="2">
        <v>43915</v>
      </c>
      <c r="E11" s="1">
        <v>55000</v>
      </c>
      <c r="F11" s="1" t="s">
        <v>56</v>
      </c>
      <c r="G11" s="1">
        <v>0</v>
      </c>
      <c r="H11" s="1" t="s">
        <v>20</v>
      </c>
    </row>
    <row r="12" spans="1:8" x14ac:dyDescent="0.3">
      <c r="A12" s="1" t="s">
        <v>57</v>
      </c>
      <c r="B12" s="1" t="s">
        <v>58</v>
      </c>
      <c r="C12" s="1" t="s">
        <v>59</v>
      </c>
      <c r="D12" s="3" t="s">
        <v>60</v>
      </c>
      <c r="E12" s="1" t="s">
        <v>61</v>
      </c>
      <c r="F12" s="1" t="s">
        <v>19</v>
      </c>
      <c r="G12" s="1">
        <v>0</v>
      </c>
      <c r="H12" s="1" t="s">
        <v>31</v>
      </c>
    </row>
    <row r="13" spans="1:8" x14ac:dyDescent="0.3">
      <c r="A13" s="1" t="s">
        <v>62</v>
      </c>
      <c r="B13" s="1" t="s">
        <v>63</v>
      </c>
      <c r="C13" s="1" t="s">
        <v>10</v>
      </c>
      <c r="D13" s="2">
        <v>45060</v>
      </c>
      <c r="E13" s="3" t="s">
        <v>64</v>
      </c>
      <c r="F13" s="1" t="s">
        <v>30</v>
      </c>
      <c r="G13" s="1">
        <v>7000</v>
      </c>
      <c r="H13" s="1" t="s">
        <v>13</v>
      </c>
    </row>
    <row r="14" spans="1:8" x14ac:dyDescent="0.3">
      <c r="A14" s="1" t="s">
        <v>65</v>
      </c>
      <c r="B14" s="1" t="s">
        <v>66</v>
      </c>
      <c r="C14" s="1" t="s">
        <v>16</v>
      </c>
      <c r="D14" s="1" t="s">
        <v>67</v>
      </c>
      <c r="E14" s="1" t="s">
        <v>68</v>
      </c>
      <c r="F14" s="1">
        <v>3</v>
      </c>
      <c r="G14" s="1">
        <v>6500</v>
      </c>
      <c r="H14" s="1">
        <v>1</v>
      </c>
    </row>
    <row r="15" spans="1:8" x14ac:dyDescent="0.3">
      <c r="A15" s="1" t="s">
        <v>69</v>
      </c>
      <c r="B15" s="1" t="s">
        <v>70</v>
      </c>
      <c r="C15" s="1" t="s">
        <v>28</v>
      </c>
      <c r="D15" s="2">
        <v>44792</v>
      </c>
      <c r="E15" s="1">
        <v>75000</v>
      </c>
      <c r="F15" s="1" t="s">
        <v>12</v>
      </c>
      <c r="G15" s="1">
        <v>18000</v>
      </c>
      <c r="H15" s="1" t="s">
        <v>20</v>
      </c>
    </row>
    <row r="16" spans="1:8" x14ac:dyDescent="0.3">
      <c r="A16" s="1" t="s">
        <v>71</v>
      </c>
      <c r="B16" s="1" t="s">
        <v>72</v>
      </c>
      <c r="C16" s="1" t="s">
        <v>34</v>
      </c>
      <c r="D16" s="3" t="s">
        <v>73</v>
      </c>
      <c r="E16" s="1" t="s">
        <v>74</v>
      </c>
      <c r="F16" s="1">
        <v>5</v>
      </c>
      <c r="G16" s="1">
        <v>19500</v>
      </c>
      <c r="H16" s="1" t="s">
        <v>75</v>
      </c>
    </row>
    <row r="17" spans="1:8" x14ac:dyDescent="0.3">
      <c r="A17" s="1" t="s">
        <v>76</v>
      </c>
      <c r="B17" s="1" t="s">
        <v>77</v>
      </c>
      <c r="C17" s="1" t="s">
        <v>44</v>
      </c>
      <c r="D17" s="2">
        <v>44531</v>
      </c>
      <c r="E17" s="1">
        <v>88000</v>
      </c>
      <c r="F17" s="1" t="s">
        <v>25</v>
      </c>
      <c r="G17" s="1">
        <v>0</v>
      </c>
      <c r="H17" s="1" t="s">
        <v>41</v>
      </c>
    </row>
    <row r="18" spans="1:8" x14ac:dyDescent="0.3">
      <c r="A18" s="1" t="s">
        <v>78</v>
      </c>
      <c r="B18" s="1" t="s">
        <v>79</v>
      </c>
      <c r="C18" s="1" t="s">
        <v>47</v>
      </c>
      <c r="D18" s="1" t="s">
        <v>80</v>
      </c>
      <c r="E18" s="1" t="s">
        <v>81</v>
      </c>
      <c r="F18" s="1">
        <v>4</v>
      </c>
      <c r="G18" s="1">
        <v>0</v>
      </c>
      <c r="H18" s="1">
        <v>0</v>
      </c>
    </row>
    <row r="19" spans="1:8" x14ac:dyDescent="0.3">
      <c r="A19" s="1" t="s">
        <v>82</v>
      </c>
      <c r="B19" s="1" t="s">
        <v>83</v>
      </c>
      <c r="C19" s="1" t="s">
        <v>10</v>
      </c>
      <c r="D19" s="2">
        <v>45199</v>
      </c>
      <c r="E19" s="1">
        <v>59000</v>
      </c>
      <c r="F19" s="1" t="s">
        <v>19</v>
      </c>
      <c r="G19" s="1">
        <v>5000</v>
      </c>
      <c r="H19" s="1" t="s">
        <v>20</v>
      </c>
    </row>
    <row r="20" spans="1:8" x14ac:dyDescent="0.3">
      <c r="A20" s="1" t="s">
        <v>84</v>
      </c>
      <c r="B20" s="1" t="s">
        <v>85</v>
      </c>
      <c r="C20" s="1" t="s">
        <v>23</v>
      </c>
      <c r="D20" s="3" t="s">
        <v>86</v>
      </c>
      <c r="E20" s="1" t="s">
        <v>87</v>
      </c>
      <c r="F20" s="1" t="s">
        <v>25</v>
      </c>
      <c r="G20" s="1">
        <v>5200</v>
      </c>
      <c r="H20" s="1" t="s">
        <v>13</v>
      </c>
    </row>
    <row r="21" spans="1:8" x14ac:dyDescent="0.3">
      <c r="A21" s="1" t="s">
        <v>88</v>
      </c>
      <c r="B21" s="1" t="s">
        <v>89</v>
      </c>
      <c r="C21" s="1" t="s">
        <v>55</v>
      </c>
      <c r="D21" s="2">
        <v>43748</v>
      </c>
      <c r="E21" s="1">
        <v>110000</v>
      </c>
      <c r="F21" s="1" t="s">
        <v>12</v>
      </c>
      <c r="G21" s="1">
        <v>0</v>
      </c>
      <c r="H21" s="1" t="s">
        <v>31</v>
      </c>
    </row>
    <row r="22" spans="1:8" x14ac:dyDescent="0.3">
      <c r="A22" s="1" t="s">
        <v>90</v>
      </c>
      <c r="B22" s="1" t="s">
        <v>91</v>
      </c>
      <c r="C22" s="1" t="s">
        <v>44</v>
      </c>
      <c r="D22" s="3" t="s">
        <v>92</v>
      </c>
      <c r="E22" s="1" t="s">
        <v>93</v>
      </c>
      <c r="F22" s="1" t="s">
        <v>12</v>
      </c>
      <c r="G22" s="1">
        <v>0</v>
      </c>
      <c r="H22" s="1" t="s">
        <v>20</v>
      </c>
    </row>
    <row r="23" spans="1:8" x14ac:dyDescent="0.3">
      <c r="A23" s="1" t="s">
        <v>94</v>
      </c>
      <c r="B23" s="1" t="s">
        <v>95</v>
      </c>
      <c r="C23" s="1" t="s">
        <v>28</v>
      </c>
      <c r="D23" s="2">
        <v>45296</v>
      </c>
      <c r="E23" s="1" t="s">
        <v>96</v>
      </c>
      <c r="F23" s="1" t="s">
        <v>19</v>
      </c>
      <c r="G23" s="1">
        <v>2000</v>
      </c>
      <c r="H23" s="1">
        <v>1</v>
      </c>
    </row>
    <row r="24" spans="1:8" x14ac:dyDescent="0.3">
      <c r="A24" s="1" t="s">
        <v>97</v>
      </c>
      <c r="B24" s="1" t="s">
        <v>98</v>
      </c>
      <c r="C24" s="1" t="s">
        <v>34</v>
      </c>
      <c r="D24" s="3" t="s">
        <v>99</v>
      </c>
      <c r="E24" s="3" t="s">
        <v>100</v>
      </c>
      <c r="F24" s="1" t="s">
        <v>30</v>
      </c>
      <c r="G24" s="1">
        <v>2500</v>
      </c>
      <c r="H24" s="1" t="s">
        <v>13</v>
      </c>
    </row>
    <row r="25" spans="1:8" x14ac:dyDescent="0.3">
      <c r="A25" s="1" t="s">
        <v>101</v>
      </c>
      <c r="B25" s="1" t="s">
        <v>102</v>
      </c>
      <c r="C25" s="1" t="s">
        <v>10</v>
      </c>
      <c r="D25" s="2">
        <v>44620</v>
      </c>
      <c r="E25" s="1">
        <v>82000</v>
      </c>
      <c r="F25" s="1" t="s">
        <v>25</v>
      </c>
      <c r="G25" s="1">
        <v>11000</v>
      </c>
      <c r="H25" s="1" t="s">
        <v>20</v>
      </c>
    </row>
    <row r="26" spans="1:8" x14ac:dyDescent="0.3">
      <c r="A26" s="1" t="s">
        <v>103</v>
      </c>
      <c r="B26" s="1" t="s">
        <v>104</v>
      </c>
      <c r="C26" s="1" t="s">
        <v>16</v>
      </c>
      <c r="D26" s="1" t="s">
        <v>105</v>
      </c>
      <c r="E26" s="1" t="s">
        <v>106</v>
      </c>
      <c r="F26" s="1">
        <v>4</v>
      </c>
      <c r="G26" s="1">
        <v>10500</v>
      </c>
      <c r="H26" s="1" t="s">
        <v>31</v>
      </c>
    </row>
    <row r="27" spans="1:8" x14ac:dyDescent="0.3">
      <c r="A27" s="1" t="s">
        <v>107</v>
      </c>
      <c r="B27" s="1" t="s">
        <v>108</v>
      </c>
      <c r="C27" s="1" t="s">
        <v>28</v>
      </c>
      <c r="D27" s="2">
        <v>44298</v>
      </c>
      <c r="E27" s="1">
        <v>90000</v>
      </c>
      <c r="F27" s="1" t="s">
        <v>12</v>
      </c>
      <c r="G27" s="1">
        <v>22000</v>
      </c>
      <c r="H27" s="1" t="s">
        <v>75</v>
      </c>
    </row>
    <row r="28" spans="1:8" x14ac:dyDescent="0.3">
      <c r="A28" s="1" t="s">
        <v>109</v>
      </c>
      <c r="B28" s="1" t="s">
        <v>110</v>
      </c>
      <c r="C28" s="1" t="s">
        <v>44</v>
      </c>
      <c r="D28" s="3" t="s">
        <v>111</v>
      </c>
      <c r="E28" s="1" t="s">
        <v>112</v>
      </c>
      <c r="F28" s="1" t="s">
        <v>19</v>
      </c>
      <c r="G28" s="1">
        <v>0</v>
      </c>
      <c r="H28" s="1" t="s">
        <v>41</v>
      </c>
    </row>
    <row r="29" spans="1:8" x14ac:dyDescent="0.3">
      <c r="A29" s="1" t="s">
        <v>113</v>
      </c>
      <c r="B29" s="1" t="s">
        <v>114</v>
      </c>
      <c r="C29" s="1" t="s">
        <v>55</v>
      </c>
      <c r="D29" s="2">
        <v>43301</v>
      </c>
      <c r="E29" s="1">
        <v>120000</v>
      </c>
      <c r="F29" s="1" t="s">
        <v>25</v>
      </c>
      <c r="G29" s="1">
        <v>0</v>
      </c>
      <c r="H29" s="1" t="s">
        <v>20</v>
      </c>
    </row>
    <row r="30" spans="1:8" x14ac:dyDescent="0.3">
      <c r="A30" s="1" t="s">
        <v>115</v>
      </c>
      <c r="B30" s="1" t="s">
        <v>116</v>
      </c>
      <c r="C30" s="1" t="s">
        <v>59</v>
      </c>
      <c r="D30" s="3" t="s">
        <v>117</v>
      </c>
      <c r="E30" s="1" t="s">
        <v>118</v>
      </c>
      <c r="F30" s="1">
        <v>5</v>
      </c>
      <c r="G30" s="1">
        <v>0</v>
      </c>
      <c r="H30" s="1">
        <v>0</v>
      </c>
    </row>
    <row r="31" spans="1:8" x14ac:dyDescent="0.3">
      <c r="A31" s="1" t="s">
        <v>119</v>
      </c>
      <c r="B31" s="1" t="s">
        <v>120</v>
      </c>
      <c r="C31" s="1" t="s">
        <v>10</v>
      </c>
      <c r="D31" s="2">
        <v>45241</v>
      </c>
      <c r="E31" s="1">
        <v>64000</v>
      </c>
      <c r="F31" s="1" t="s">
        <v>19</v>
      </c>
      <c r="G31" s="1">
        <v>8000</v>
      </c>
      <c r="H31" s="1" t="s">
        <v>13</v>
      </c>
    </row>
    <row r="32" spans="1:8" x14ac:dyDescent="0.3">
      <c r="A32" s="1" t="s">
        <v>121</v>
      </c>
      <c r="B32" s="1" t="s">
        <v>122</v>
      </c>
      <c r="C32" s="1" t="s">
        <v>10</v>
      </c>
      <c r="D32" s="3" t="s">
        <v>123</v>
      </c>
      <c r="E32" s="1" t="s">
        <v>124</v>
      </c>
      <c r="F32" s="1" t="s">
        <v>25</v>
      </c>
      <c r="G32" s="1">
        <v>8100</v>
      </c>
      <c r="H32" s="1">
        <v>1</v>
      </c>
    </row>
    <row r="33" spans="1:8" x14ac:dyDescent="0.3">
      <c r="A33" s="1" t="s">
        <v>125</v>
      </c>
      <c r="B33" s="1" t="s">
        <v>126</v>
      </c>
      <c r="C33" s="1" t="s">
        <v>28</v>
      </c>
      <c r="D33" s="2">
        <v>43971</v>
      </c>
      <c r="E33" s="1" t="s">
        <v>127</v>
      </c>
      <c r="F33" s="1" t="s">
        <v>12</v>
      </c>
      <c r="G33" s="1">
        <v>30000</v>
      </c>
      <c r="H33" s="1" t="s">
        <v>20</v>
      </c>
    </row>
    <row r="34" spans="1:8" x14ac:dyDescent="0.3">
      <c r="A34" s="1" t="s">
        <v>128</v>
      </c>
      <c r="B34" s="1" t="s">
        <v>129</v>
      </c>
      <c r="C34" s="1" t="s">
        <v>34</v>
      </c>
      <c r="D34" s="1" t="s">
        <v>130</v>
      </c>
      <c r="E34" s="1">
        <v>135000</v>
      </c>
      <c r="F34" s="1" t="s">
        <v>30</v>
      </c>
      <c r="G34" s="1">
        <v>31000</v>
      </c>
      <c r="H34" s="1" t="s">
        <v>31</v>
      </c>
    </row>
    <row r="35" spans="1:8" x14ac:dyDescent="0.3">
      <c r="A35" s="1" t="s">
        <v>131</v>
      </c>
      <c r="B35" s="1" t="s">
        <v>132</v>
      </c>
      <c r="C35" s="1" t="s">
        <v>44</v>
      </c>
      <c r="D35" s="2">
        <v>43539</v>
      </c>
      <c r="E35" s="1">
        <v>110000</v>
      </c>
      <c r="F35" s="1" t="s">
        <v>25</v>
      </c>
      <c r="G35" s="1">
        <v>0</v>
      </c>
      <c r="H35" s="1" t="s">
        <v>13</v>
      </c>
    </row>
    <row r="36" spans="1:8" x14ac:dyDescent="0.3">
      <c r="A36" s="1" t="s">
        <v>133</v>
      </c>
      <c r="B36" s="1" t="s">
        <v>134</v>
      </c>
      <c r="C36" s="1" t="s">
        <v>47</v>
      </c>
      <c r="D36" s="3" t="s">
        <v>135</v>
      </c>
      <c r="E36" s="1" t="s">
        <v>136</v>
      </c>
      <c r="F36" s="1">
        <v>4</v>
      </c>
      <c r="G36" s="1">
        <v>0</v>
      </c>
      <c r="H36" s="1" t="s">
        <v>41</v>
      </c>
    </row>
    <row r="37" spans="1:8" x14ac:dyDescent="0.3">
      <c r="A37" s="1" t="s">
        <v>137</v>
      </c>
      <c r="B37" s="1" t="s">
        <v>138</v>
      </c>
      <c r="C37" s="1" t="s">
        <v>55</v>
      </c>
      <c r="D37" s="2">
        <v>43074</v>
      </c>
      <c r="E37" s="1">
        <v>140000</v>
      </c>
      <c r="F37" s="1" t="s">
        <v>12</v>
      </c>
      <c r="G37" s="1">
        <v>0</v>
      </c>
      <c r="H37" s="1" t="s">
        <v>20</v>
      </c>
    </row>
    <row r="38" spans="1:8" x14ac:dyDescent="0.3">
      <c r="A38" s="1" t="s">
        <v>139</v>
      </c>
      <c r="B38" s="1" t="s">
        <v>140</v>
      </c>
      <c r="C38" s="1" t="s">
        <v>59</v>
      </c>
      <c r="D38" s="3" t="s">
        <v>141</v>
      </c>
      <c r="E38" s="1" t="s">
        <v>142</v>
      </c>
      <c r="F38" s="1">
        <v>5</v>
      </c>
      <c r="G38" s="1">
        <v>0</v>
      </c>
      <c r="H38" s="1">
        <v>0</v>
      </c>
    </row>
    <row r="39" spans="1:8" x14ac:dyDescent="0.3">
      <c r="A39" s="1" t="s">
        <v>143</v>
      </c>
      <c r="B39" s="1" t="s">
        <v>144</v>
      </c>
      <c r="C39" s="1" t="s">
        <v>10</v>
      </c>
      <c r="D39" s="2">
        <v>44742</v>
      </c>
      <c r="E39" s="1" t="s">
        <v>145</v>
      </c>
      <c r="F39" s="1" t="s">
        <v>19</v>
      </c>
      <c r="G39" s="1">
        <v>14000</v>
      </c>
      <c r="H39" s="1">
        <v>1</v>
      </c>
    </row>
    <row r="40" spans="1:8" x14ac:dyDescent="0.3">
      <c r="A40" s="1" t="s">
        <v>146</v>
      </c>
      <c r="B40" s="1" t="s">
        <v>147</v>
      </c>
      <c r="C40" s="1" t="s">
        <v>16</v>
      </c>
      <c r="D40" s="1" t="s">
        <v>148</v>
      </c>
      <c r="E40" s="1">
        <v>90000</v>
      </c>
      <c r="F40" s="1" t="s">
        <v>25</v>
      </c>
      <c r="G40" s="1">
        <v>14500</v>
      </c>
      <c r="H40" s="1" t="s">
        <v>13</v>
      </c>
    </row>
    <row r="41" spans="1:8" x14ac:dyDescent="0.3">
      <c r="A41" s="1" t="s">
        <v>149</v>
      </c>
      <c r="B41" s="1" t="s">
        <v>150</v>
      </c>
      <c r="C41" s="1" t="s">
        <v>28</v>
      </c>
      <c r="D41" s="2">
        <v>44451</v>
      </c>
      <c r="E41" s="1">
        <v>85000</v>
      </c>
      <c r="F41" s="1" t="s">
        <v>30</v>
      </c>
      <c r="G41" s="1">
        <v>16000</v>
      </c>
      <c r="H41" s="1" t="s">
        <v>20</v>
      </c>
    </row>
    <row r="42" spans="1:8" x14ac:dyDescent="0.3">
      <c r="A42" s="1" t="s">
        <v>151</v>
      </c>
      <c r="B42" s="1" t="s">
        <v>152</v>
      </c>
      <c r="C42" s="1" t="s">
        <v>34</v>
      </c>
      <c r="D42" s="3" t="s">
        <v>153</v>
      </c>
      <c r="E42" s="1" t="s">
        <v>154</v>
      </c>
      <c r="F42" s="1" t="s">
        <v>12</v>
      </c>
      <c r="G42" s="1">
        <v>16500</v>
      </c>
      <c r="H42" s="1" t="s">
        <v>31</v>
      </c>
    </row>
    <row r="43" spans="1:8" x14ac:dyDescent="0.3">
      <c r="A43" s="1" t="s">
        <v>155</v>
      </c>
      <c r="B43" s="1" t="s">
        <v>156</v>
      </c>
      <c r="C43" s="1" t="s">
        <v>44</v>
      </c>
      <c r="D43" s="2">
        <v>44581</v>
      </c>
      <c r="E43" s="1">
        <v>80000</v>
      </c>
      <c r="F43" s="1" t="s">
        <v>19</v>
      </c>
      <c r="G43" s="1">
        <v>0</v>
      </c>
      <c r="H43" s="1" t="s">
        <v>13</v>
      </c>
    </row>
    <row r="44" spans="1:8" x14ac:dyDescent="0.3">
      <c r="A44" s="1" t="s">
        <v>157</v>
      </c>
      <c r="B44" s="1" t="s">
        <v>158</v>
      </c>
      <c r="C44" s="1" t="s">
        <v>47</v>
      </c>
      <c r="D44" s="1" t="s">
        <v>159</v>
      </c>
      <c r="E44" s="1" t="s">
        <v>160</v>
      </c>
      <c r="F44" s="1" t="s">
        <v>25</v>
      </c>
      <c r="G44" s="1">
        <v>0</v>
      </c>
      <c r="H44" s="1" t="s">
        <v>41</v>
      </c>
    </row>
    <row r="45" spans="1:8" x14ac:dyDescent="0.3">
      <c r="A45" s="1" t="s">
        <v>161</v>
      </c>
      <c r="B45" s="1" t="s">
        <v>162</v>
      </c>
      <c r="C45" s="1" t="s">
        <v>55</v>
      </c>
      <c r="D45" s="2">
        <v>42596</v>
      </c>
      <c r="E45" s="1" t="s">
        <v>163</v>
      </c>
      <c r="F45" s="1" t="s">
        <v>12</v>
      </c>
      <c r="G45" s="1">
        <v>0</v>
      </c>
      <c r="H45" s="1" t="s">
        <v>20</v>
      </c>
    </row>
    <row r="46" spans="1:8" x14ac:dyDescent="0.3">
      <c r="A46" s="1" t="s">
        <v>164</v>
      </c>
      <c r="B46" s="1" t="s">
        <v>165</v>
      </c>
      <c r="C46" s="1" t="s">
        <v>59</v>
      </c>
      <c r="D46" s="1" t="s">
        <v>166</v>
      </c>
      <c r="E46" s="1">
        <v>155000</v>
      </c>
      <c r="F46" s="1">
        <v>5</v>
      </c>
      <c r="G46" s="1">
        <v>0</v>
      </c>
      <c r="H46" s="1">
        <v>0</v>
      </c>
    </row>
    <row r="47" spans="1:8" x14ac:dyDescent="0.3">
      <c r="A47" s="1" t="s">
        <v>167</v>
      </c>
      <c r="B47" s="1" t="s">
        <v>168</v>
      </c>
      <c r="C47" s="1" t="s">
        <v>10</v>
      </c>
      <c r="D47" s="2">
        <v>45017</v>
      </c>
      <c r="E47" s="1">
        <v>62000</v>
      </c>
      <c r="F47" s="1" t="s">
        <v>19</v>
      </c>
      <c r="G47" s="1">
        <v>7500</v>
      </c>
      <c r="H47" s="1">
        <v>1</v>
      </c>
    </row>
    <row r="48" spans="1:8" x14ac:dyDescent="0.3">
      <c r="A48" s="1" t="s">
        <v>169</v>
      </c>
      <c r="B48" s="1" t="s">
        <v>170</v>
      </c>
      <c r="C48" s="1" t="s">
        <v>23</v>
      </c>
      <c r="D48" s="3" t="s">
        <v>171</v>
      </c>
      <c r="E48" s="1" t="s">
        <v>172</v>
      </c>
      <c r="F48" s="1" t="s">
        <v>25</v>
      </c>
      <c r="G48" s="1">
        <v>7600</v>
      </c>
      <c r="H48" s="1" t="s">
        <v>13</v>
      </c>
    </row>
    <row r="49" spans="1:8" x14ac:dyDescent="0.3">
      <c r="A49" s="1" t="s">
        <v>173</v>
      </c>
      <c r="B49" s="1" t="s">
        <v>174</v>
      </c>
      <c r="C49" s="1" t="s">
        <v>28</v>
      </c>
      <c r="D49" s="2">
        <v>44135</v>
      </c>
      <c r="E49" s="1" t="s">
        <v>175</v>
      </c>
      <c r="F49" s="1" t="s">
        <v>12</v>
      </c>
      <c r="G49" s="1">
        <v>20000</v>
      </c>
      <c r="H49" s="1" t="s">
        <v>20</v>
      </c>
    </row>
    <row r="50" spans="1:8" x14ac:dyDescent="0.3">
      <c r="A50" s="1" t="s">
        <v>176</v>
      </c>
      <c r="B50" s="1" t="s">
        <v>177</v>
      </c>
      <c r="C50" s="1" t="s">
        <v>34</v>
      </c>
      <c r="D50" s="1" t="s">
        <v>178</v>
      </c>
      <c r="E50" s="1">
        <v>105000</v>
      </c>
      <c r="F50" s="1" t="s">
        <v>30</v>
      </c>
      <c r="G50" s="1">
        <v>21000</v>
      </c>
      <c r="H50" s="1" t="s">
        <v>31</v>
      </c>
    </row>
    <row r="51" spans="1:8" x14ac:dyDescent="0.3">
      <c r="A51" s="1" t="s">
        <v>179</v>
      </c>
      <c r="B51" s="1" t="s">
        <v>180</v>
      </c>
      <c r="C51" s="1" t="s">
        <v>44</v>
      </c>
      <c r="D51" s="2">
        <v>44334</v>
      </c>
      <c r="E51" s="1">
        <v>98000</v>
      </c>
      <c r="F51" s="1" t="s">
        <v>25</v>
      </c>
      <c r="G51" s="1">
        <v>0</v>
      </c>
      <c r="H51" s="1" t="s">
        <v>41</v>
      </c>
    </row>
    <row r="52" spans="1:8" x14ac:dyDescent="0.3">
      <c r="A52" s="1" t="s">
        <v>181</v>
      </c>
      <c r="B52" s="1" t="s">
        <v>182</v>
      </c>
      <c r="C52" s="1" t="s">
        <v>47</v>
      </c>
      <c r="D52" s="1" t="s">
        <v>183</v>
      </c>
      <c r="E52" s="1" t="s">
        <v>112</v>
      </c>
      <c r="F52" s="1">
        <v>4</v>
      </c>
      <c r="G52" s="1">
        <v>0</v>
      </c>
      <c r="H52" s="1">
        <v>0</v>
      </c>
    </row>
    <row r="53" spans="1:8" x14ac:dyDescent="0.3">
      <c r="A53" s="1" t="s">
        <v>184</v>
      </c>
      <c r="B53" s="1" t="s">
        <v>185</v>
      </c>
      <c r="C53" s="1" t="s">
        <v>10</v>
      </c>
      <c r="D53" s="2">
        <v>44907</v>
      </c>
      <c r="E53" s="1" t="s">
        <v>186</v>
      </c>
      <c r="F53" s="1" t="s">
        <v>19</v>
      </c>
      <c r="G53" s="1">
        <v>10000</v>
      </c>
      <c r="H53" s="1" t="s">
        <v>20</v>
      </c>
    </row>
    <row r="54" spans="1:8" x14ac:dyDescent="0.3">
      <c r="A54" s="1" t="s">
        <v>187</v>
      </c>
      <c r="B54" s="1" t="s">
        <v>188</v>
      </c>
      <c r="C54" s="1" t="s">
        <v>16</v>
      </c>
      <c r="D54" s="3" t="s">
        <v>189</v>
      </c>
      <c r="E54" s="1">
        <v>77000</v>
      </c>
      <c r="F54" s="1" t="s">
        <v>25</v>
      </c>
      <c r="G54" s="1">
        <v>10200</v>
      </c>
      <c r="H54" s="1" t="s">
        <v>13</v>
      </c>
    </row>
    <row r="55" spans="1:8" x14ac:dyDescent="0.3">
      <c r="A55" s="1" t="s">
        <v>190</v>
      </c>
      <c r="B55" s="1" t="s">
        <v>191</v>
      </c>
      <c r="C55" s="1" t="s">
        <v>28</v>
      </c>
      <c r="D55" s="2">
        <v>43521</v>
      </c>
      <c r="E55" s="1" t="s">
        <v>192</v>
      </c>
      <c r="F55" s="1" t="s">
        <v>12</v>
      </c>
      <c r="G55" s="1">
        <v>25000</v>
      </c>
      <c r="H55" s="1">
        <v>1</v>
      </c>
    </row>
    <row r="56" spans="1:8" x14ac:dyDescent="0.3">
      <c r="A56" s="1" t="s">
        <v>193</v>
      </c>
      <c r="B56" s="1" t="s">
        <v>194</v>
      </c>
      <c r="C56" s="1" t="s">
        <v>34</v>
      </c>
      <c r="D56" s="1" t="s">
        <v>195</v>
      </c>
      <c r="E56" s="1">
        <v>125000</v>
      </c>
      <c r="F56" s="1" t="s">
        <v>30</v>
      </c>
      <c r="G56" s="1">
        <v>26000</v>
      </c>
      <c r="H56" s="1" t="s">
        <v>20</v>
      </c>
    </row>
    <row r="57" spans="1:8" x14ac:dyDescent="0.3">
      <c r="A57" s="1" t="s">
        <v>196</v>
      </c>
      <c r="B57" s="1" t="s">
        <v>197</v>
      </c>
      <c r="C57" s="1" t="s">
        <v>44</v>
      </c>
      <c r="D57" s="2">
        <v>43194</v>
      </c>
      <c r="E57" s="1" t="s">
        <v>198</v>
      </c>
      <c r="F57" s="1" t="s">
        <v>12</v>
      </c>
      <c r="G57" s="1">
        <v>0</v>
      </c>
      <c r="H57" s="1" t="s">
        <v>31</v>
      </c>
    </row>
    <row r="58" spans="1:8" x14ac:dyDescent="0.3">
      <c r="A58" s="1" t="s">
        <v>199</v>
      </c>
      <c r="B58" s="1" t="s">
        <v>200</v>
      </c>
      <c r="C58" s="1" t="s">
        <v>47</v>
      </c>
      <c r="D58" s="3" t="s">
        <v>201</v>
      </c>
      <c r="E58" s="1">
        <v>135000</v>
      </c>
      <c r="F58" s="1" t="s">
        <v>19</v>
      </c>
      <c r="G58" s="1">
        <v>0</v>
      </c>
      <c r="H58" s="1" t="s">
        <v>13</v>
      </c>
    </row>
    <row r="59" spans="1:8" x14ac:dyDescent="0.3">
      <c r="A59" s="1" t="s">
        <v>202</v>
      </c>
      <c r="B59" s="1" t="s">
        <v>203</v>
      </c>
      <c r="C59" s="1" t="s">
        <v>10</v>
      </c>
      <c r="D59" s="2">
        <v>45114</v>
      </c>
      <c r="E59" s="1" t="s">
        <v>61</v>
      </c>
      <c r="F59" s="1" t="s">
        <v>25</v>
      </c>
      <c r="G59" s="1">
        <v>6000</v>
      </c>
      <c r="H59" s="1" t="s">
        <v>41</v>
      </c>
    </row>
    <row r="60" spans="1:8" x14ac:dyDescent="0.3">
      <c r="A60" s="1" t="s">
        <v>204</v>
      </c>
      <c r="B60" s="1" t="s">
        <v>205</v>
      </c>
      <c r="C60" s="1" t="s">
        <v>23</v>
      </c>
      <c r="D60" s="3" t="s">
        <v>206</v>
      </c>
      <c r="E60" s="1">
        <v>60000</v>
      </c>
      <c r="F60" s="1" t="s">
        <v>19</v>
      </c>
      <c r="G60" s="1">
        <v>6200</v>
      </c>
      <c r="H60" s="1">
        <v>0</v>
      </c>
    </row>
    <row r="61" spans="1:8" x14ac:dyDescent="0.3">
      <c r="A61" s="1" t="s">
        <v>207</v>
      </c>
      <c r="B61" s="1" t="s">
        <v>208</v>
      </c>
      <c r="C61" s="1" t="s">
        <v>55</v>
      </c>
      <c r="D61" s="2">
        <v>42005</v>
      </c>
      <c r="E61" s="1" t="s">
        <v>209</v>
      </c>
      <c r="F61" s="1" t="s">
        <v>12</v>
      </c>
      <c r="G61" s="1">
        <v>0</v>
      </c>
      <c r="H61" s="1" t="s">
        <v>20</v>
      </c>
    </row>
    <row r="62" spans="1:8" x14ac:dyDescent="0.3">
      <c r="A62" s="1" t="s">
        <v>210</v>
      </c>
      <c r="B62" s="1" t="s">
        <v>211</v>
      </c>
      <c r="C62" s="1" t="s">
        <v>59</v>
      </c>
      <c r="D62" s="3" t="s">
        <v>212</v>
      </c>
      <c r="E62" s="1">
        <v>165000</v>
      </c>
      <c r="F62" s="1">
        <v>5</v>
      </c>
      <c r="G62" s="1">
        <v>0</v>
      </c>
      <c r="H62" s="1">
        <v>1</v>
      </c>
    </row>
    <row r="63" spans="1:8" x14ac:dyDescent="0.3">
      <c r="A63" s="1" t="s">
        <v>213</v>
      </c>
      <c r="B63" s="1" t="s">
        <v>214</v>
      </c>
      <c r="C63" s="1" t="s">
        <v>10</v>
      </c>
      <c r="D63" s="2">
        <v>44275</v>
      </c>
      <c r="E63" s="1" t="s">
        <v>112</v>
      </c>
      <c r="F63" s="1" t="s">
        <v>19</v>
      </c>
      <c r="G63" s="1">
        <v>15000</v>
      </c>
      <c r="H63" s="1" t="s">
        <v>13</v>
      </c>
    </row>
    <row r="64" spans="1:8" x14ac:dyDescent="0.3">
      <c r="A64" s="1" t="s">
        <v>215</v>
      </c>
      <c r="B64" s="1" t="s">
        <v>216</v>
      </c>
      <c r="C64" s="1" t="s">
        <v>16</v>
      </c>
      <c r="D64" s="1" t="s">
        <v>217</v>
      </c>
      <c r="E64" s="1">
        <v>98000</v>
      </c>
      <c r="F64" s="1" t="s">
        <v>25</v>
      </c>
      <c r="G64" s="1">
        <v>15500</v>
      </c>
      <c r="H64" s="1" t="s">
        <v>20</v>
      </c>
    </row>
    <row r="65" spans="1:8" x14ac:dyDescent="0.3">
      <c r="A65" s="1" t="s">
        <v>218</v>
      </c>
      <c r="B65" s="1" t="s">
        <v>177</v>
      </c>
      <c r="C65" s="1" t="s">
        <v>28</v>
      </c>
      <c r="D65" s="2">
        <v>44135</v>
      </c>
      <c r="E65" s="1" t="s">
        <v>175</v>
      </c>
      <c r="F65" s="1" t="s">
        <v>12</v>
      </c>
      <c r="G65" s="1">
        <v>20000</v>
      </c>
      <c r="H65" s="1" t="s">
        <v>31</v>
      </c>
    </row>
    <row r="66" spans="1:8" x14ac:dyDescent="0.3">
      <c r="A66" s="1" t="s">
        <v>219</v>
      </c>
      <c r="B66" s="1" t="s">
        <v>220</v>
      </c>
      <c r="C66" s="1" t="s">
        <v>34</v>
      </c>
      <c r="D66" s="3" t="s">
        <v>221</v>
      </c>
      <c r="E66" s="1" t="s">
        <v>222</v>
      </c>
      <c r="F66" s="1" t="s">
        <v>30</v>
      </c>
      <c r="G66" s="1">
        <v>20500</v>
      </c>
      <c r="H66" s="1" t="s">
        <v>75</v>
      </c>
    </row>
    <row r="67" spans="1:8" x14ac:dyDescent="0.3">
      <c r="A67" s="1" t="s">
        <v>223</v>
      </c>
      <c r="B67" s="1" t="s">
        <v>224</v>
      </c>
      <c r="C67" s="1" t="s">
        <v>44</v>
      </c>
      <c r="D67" s="2">
        <v>44781</v>
      </c>
      <c r="E67" s="1" t="s">
        <v>81</v>
      </c>
      <c r="F67" s="1" t="s">
        <v>19</v>
      </c>
      <c r="G67" s="1">
        <v>0</v>
      </c>
      <c r="H67" s="1" t="s">
        <v>41</v>
      </c>
    </row>
    <row r="68" spans="1:8" x14ac:dyDescent="0.3">
      <c r="A68" s="1" t="s">
        <v>225</v>
      </c>
      <c r="B68" s="1" t="s">
        <v>226</v>
      </c>
      <c r="C68" s="1" t="s">
        <v>47</v>
      </c>
      <c r="D68" s="3" t="s">
        <v>227</v>
      </c>
      <c r="E68" s="1">
        <v>82000</v>
      </c>
      <c r="F68" s="1" t="s">
        <v>25</v>
      </c>
      <c r="G68" s="1">
        <v>0</v>
      </c>
      <c r="H68" s="1">
        <v>0</v>
      </c>
    </row>
    <row r="69" spans="1:8" x14ac:dyDescent="0.3">
      <c r="A69" s="1" t="s">
        <v>228</v>
      </c>
      <c r="B69" s="1" t="s">
        <v>229</v>
      </c>
      <c r="C69" s="1" t="s">
        <v>10</v>
      </c>
      <c r="D69" s="2">
        <v>44971</v>
      </c>
      <c r="E69" s="1" t="s">
        <v>230</v>
      </c>
      <c r="F69" s="1" t="s">
        <v>12</v>
      </c>
      <c r="G69" s="1">
        <v>9000</v>
      </c>
      <c r="H69" s="1" t="s">
        <v>20</v>
      </c>
    </row>
    <row r="70" spans="1:8" x14ac:dyDescent="0.3">
      <c r="A70" s="1" t="s">
        <v>231</v>
      </c>
      <c r="B70" s="1" t="s">
        <v>232</v>
      </c>
      <c r="C70" s="1" t="s">
        <v>23</v>
      </c>
      <c r="D70" s="1" t="s">
        <v>233</v>
      </c>
      <c r="E70" s="1">
        <v>64000</v>
      </c>
      <c r="F70" s="1" t="s">
        <v>19</v>
      </c>
      <c r="G70" s="1">
        <v>8800</v>
      </c>
      <c r="H70" s="1" t="s">
        <v>13</v>
      </c>
    </row>
    <row r="71" spans="1:8" x14ac:dyDescent="0.3">
      <c r="A71" s="1" t="s">
        <v>234</v>
      </c>
      <c r="B71" s="1" t="s">
        <v>235</v>
      </c>
      <c r="C71" s="1" t="s">
        <v>55</v>
      </c>
      <c r="D71" s="2">
        <v>43615</v>
      </c>
      <c r="E71" s="1" t="s">
        <v>136</v>
      </c>
      <c r="F71" s="1" t="s">
        <v>25</v>
      </c>
      <c r="G71" s="1">
        <v>0</v>
      </c>
      <c r="H71" s="1">
        <v>1</v>
      </c>
    </row>
    <row r="72" spans="1:8" x14ac:dyDescent="0.3">
      <c r="A72" s="1" t="s">
        <v>236</v>
      </c>
      <c r="B72" s="1" t="s">
        <v>237</v>
      </c>
      <c r="C72" s="1" t="s">
        <v>59</v>
      </c>
      <c r="D72" s="1" t="s">
        <v>238</v>
      </c>
      <c r="E72" s="1">
        <v>112000</v>
      </c>
      <c r="F72" s="1">
        <v>4</v>
      </c>
      <c r="G72" s="1">
        <v>0</v>
      </c>
      <c r="H72" s="1" t="s">
        <v>31</v>
      </c>
    </row>
    <row r="73" spans="1:8" x14ac:dyDescent="0.3">
      <c r="A73" s="1" t="s">
        <v>239</v>
      </c>
      <c r="B73" s="1" t="s">
        <v>240</v>
      </c>
      <c r="C73" s="1" t="s">
        <v>28</v>
      </c>
      <c r="D73" s="2">
        <v>45342</v>
      </c>
      <c r="E73" s="1" t="s">
        <v>241</v>
      </c>
      <c r="F73" s="1" t="s">
        <v>19</v>
      </c>
      <c r="G73" s="1">
        <v>1500</v>
      </c>
      <c r="H73" s="1" t="s">
        <v>20</v>
      </c>
    </row>
    <row r="74" spans="1:8" x14ac:dyDescent="0.3">
      <c r="A74" s="1" t="s">
        <v>242</v>
      </c>
      <c r="B74" s="1" t="s">
        <v>243</v>
      </c>
      <c r="C74" s="1" t="s">
        <v>34</v>
      </c>
      <c r="D74" s="1" t="s">
        <v>244</v>
      </c>
      <c r="E74" s="1">
        <v>50000</v>
      </c>
      <c r="F74" s="1" t="s">
        <v>25</v>
      </c>
      <c r="G74" s="1">
        <v>1800</v>
      </c>
      <c r="H74" s="1" t="s">
        <v>13</v>
      </c>
    </row>
    <row r="75" spans="1:8" x14ac:dyDescent="0.3">
      <c r="A75" s="1" t="s">
        <v>245</v>
      </c>
      <c r="B75" s="1" t="s">
        <v>246</v>
      </c>
      <c r="C75" s="1" t="s">
        <v>10</v>
      </c>
      <c r="D75" s="2">
        <v>45092</v>
      </c>
      <c r="E75" s="1" t="s">
        <v>247</v>
      </c>
      <c r="F75" s="1" t="s">
        <v>19</v>
      </c>
      <c r="G75" s="1">
        <v>4000</v>
      </c>
      <c r="H75" s="1" t="s">
        <v>41</v>
      </c>
    </row>
    <row r="76" spans="1:8" x14ac:dyDescent="0.3">
      <c r="A76" s="1" t="s">
        <v>248</v>
      </c>
      <c r="B76" s="1" t="s">
        <v>249</v>
      </c>
      <c r="C76" s="1" t="s">
        <v>10</v>
      </c>
      <c r="D76" s="2">
        <v>45296</v>
      </c>
      <c r="E76" s="1" t="s">
        <v>96</v>
      </c>
      <c r="F76" s="1" t="s">
        <v>19</v>
      </c>
      <c r="G76" s="1">
        <v>2000</v>
      </c>
      <c r="H76" s="1">
        <v>0</v>
      </c>
    </row>
    <row r="77" spans="1:8" x14ac:dyDescent="0.3">
      <c r="A77" s="1" t="s">
        <v>250</v>
      </c>
      <c r="B77" s="1" t="s">
        <v>70</v>
      </c>
      <c r="C77" s="1" t="s">
        <v>28</v>
      </c>
      <c r="D77" s="2">
        <v>44792</v>
      </c>
      <c r="E77" s="1">
        <v>75000</v>
      </c>
      <c r="F77" s="1" t="s">
        <v>12</v>
      </c>
      <c r="G77" s="1">
        <v>18000</v>
      </c>
      <c r="H77" s="1" t="s">
        <v>20</v>
      </c>
    </row>
    <row r="78" spans="1:8" x14ac:dyDescent="0.3">
      <c r="A78" s="1" t="s">
        <v>251</v>
      </c>
      <c r="B78" s="1" t="s">
        <v>252</v>
      </c>
      <c r="C78" s="1" t="s">
        <v>44</v>
      </c>
      <c r="D78" s="2">
        <v>44019</v>
      </c>
      <c r="E78" s="1" t="s">
        <v>253</v>
      </c>
      <c r="F78" s="1" t="s">
        <v>12</v>
      </c>
      <c r="G78" s="1">
        <v>0</v>
      </c>
      <c r="H78" s="1" t="s">
        <v>13</v>
      </c>
    </row>
    <row r="79" spans="1:8" x14ac:dyDescent="0.3">
      <c r="A79" s="1" t="s">
        <v>254</v>
      </c>
      <c r="B79" s="1" t="s">
        <v>220</v>
      </c>
      <c r="C79" s="1" t="s">
        <v>28</v>
      </c>
      <c r="D79" s="2">
        <v>44135</v>
      </c>
      <c r="E79" s="1" t="s">
        <v>222</v>
      </c>
      <c r="F79" s="1" t="s">
        <v>30</v>
      </c>
      <c r="G79" s="1">
        <v>20500</v>
      </c>
      <c r="H79" s="1" t="s">
        <v>75</v>
      </c>
    </row>
    <row r="80" spans="1:8" x14ac:dyDescent="0.3">
      <c r="A80" s="1" t="s">
        <v>255</v>
      </c>
      <c r="B80" s="1" t="s">
        <v>132</v>
      </c>
      <c r="C80" s="1" t="s">
        <v>44</v>
      </c>
      <c r="D80" s="2">
        <v>43539</v>
      </c>
      <c r="E80" s="1">
        <v>110000</v>
      </c>
      <c r="F80" s="1" t="s">
        <v>25</v>
      </c>
      <c r="G80" s="1">
        <v>0</v>
      </c>
      <c r="H80" s="1" t="s">
        <v>13</v>
      </c>
    </row>
    <row r="81" spans="1:8" x14ac:dyDescent="0.3">
      <c r="A81" s="1" t="s">
        <v>256</v>
      </c>
      <c r="B81" s="1" t="s">
        <v>257</v>
      </c>
      <c r="C81" s="1" t="s">
        <v>55</v>
      </c>
      <c r="D81" s="2">
        <v>42685</v>
      </c>
      <c r="E81" s="1" t="s">
        <v>258</v>
      </c>
      <c r="F81" s="1" t="s">
        <v>12</v>
      </c>
      <c r="G81" s="1">
        <v>0</v>
      </c>
      <c r="H81" s="1" t="s">
        <v>20</v>
      </c>
    </row>
    <row r="82" spans="1:8" x14ac:dyDescent="0.3">
      <c r="A82" s="1" t="s">
        <v>259</v>
      </c>
      <c r="B82" s="1" t="s">
        <v>140</v>
      </c>
      <c r="C82" s="1" t="s">
        <v>55</v>
      </c>
      <c r="D82" s="2">
        <v>43074</v>
      </c>
      <c r="E82" s="1">
        <v>140000</v>
      </c>
      <c r="F82" s="1" t="s">
        <v>12</v>
      </c>
      <c r="G82" s="1">
        <v>0</v>
      </c>
      <c r="H82" s="1" t="s">
        <v>20</v>
      </c>
    </row>
    <row r="83" spans="1:8" x14ac:dyDescent="0.3">
      <c r="A83" s="1" t="s">
        <v>260</v>
      </c>
      <c r="B83" s="1" t="s">
        <v>261</v>
      </c>
      <c r="C83" s="1" t="s">
        <v>10</v>
      </c>
      <c r="D83" s="2">
        <v>44669</v>
      </c>
      <c r="E83" s="1" t="s">
        <v>262</v>
      </c>
      <c r="F83" s="1" t="s">
        <v>19</v>
      </c>
      <c r="G83" s="1">
        <v>12000</v>
      </c>
      <c r="H83" s="1">
        <v>1</v>
      </c>
    </row>
    <row r="84" spans="1:8" x14ac:dyDescent="0.3">
      <c r="A84" s="1" t="s">
        <v>263</v>
      </c>
      <c r="B84" s="1" t="s">
        <v>264</v>
      </c>
      <c r="C84" s="1" t="s">
        <v>16</v>
      </c>
      <c r="D84" s="1" t="s">
        <v>265</v>
      </c>
      <c r="E84" s="1">
        <v>82000</v>
      </c>
      <c r="F84" s="1" t="s">
        <v>25</v>
      </c>
      <c r="G84" s="1">
        <v>11500</v>
      </c>
      <c r="H84" s="1" t="s">
        <v>13</v>
      </c>
    </row>
    <row r="85" spans="1:8" x14ac:dyDescent="0.3">
      <c r="A85" s="1" t="s">
        <v>266</v>
      </c>
      <c r="B85" s="1" t="s">
        <v>267</v>
      </c>
      <c r="C85" s="1" t="s">
        <v>28</v>
      </c>
      <c r="D85" s="2">
        <v>44555</v>
      </c>
      <c r="E85" s="1" t="s">
        <v>49</v>
      </c>
      <c r="F85" s="1" t="s">
        <v>12</v>
      </c>
      <c r="G85" s="1">
        <v>21000</v>
      </c>
      <c r="H85" s="1" t="s">
        <v>20</v>
      </c>
    </row>
    <row r="86" spans="1:8" x14ac:dyDescent="0.3">
      <c r="A86" s="1" t="s">
        <v>268</v>
      </c>
      <c r="B86" s="1" t="s">
        <v>95</v>
      </c>
      <c r="C86" s="1" t="s">
        <v>28</v>
      </c>
      <c r="D86" s="2">
        <v>45296</v>
      </c>
      <c r="E86" s="1" t="s">
        <v>96</v>
      </c>
      <c r="F86" s="1" t="s">
        <v>19</v>
      </c>
      <c r="G86" s="1">
        <v>2000</v>
      </c>
      <c r="H86" s="1">
        <v>1</v>
      </c>
    </row>
    <row r="87" spans="1:8" x14ac:dyDescent="0.3">
      <c r="A87" s="1" t="s">
        <v>269</v>
      </c>
      <c r="B87" s="1" t="s">
        <v>270</v>
      </c>
      <c r="C87" s="1" t="s">
        <v>44</v>
      </c>
      <c r="D87" s="2">
        <v>43717</v>
      </c>
      <c r="E87" s="1" t="s">
        <v>271</v>
      </c>
      <c r="F87" s="1" t="s">
        <v>12</v>
      </c>
      <c r="G87" s="1">
        <v>0</v>
      </c>
      <c r="H87" s="1" t="s">
        <v>31</v>
      </c>
    </row>
    <row r="88" spans="1:8" x14ac:dyDescent="0.3">
      <c r="A88" s="1" t="s">
        <v>272</v>
      </c>
      <c r="B88" s="1" t="s">
        <v>273</v>
      </c>
      <c r="C88" s="1" t="s">
        <v>47</v>
      </c>
      <c r="D88" s="3" t="s">
        <v>274</v>
      </c>
      <c r="E88" s="1">
        <v>115000</v>
      </c>
      <c r="F88" s="1" t="s">
        <v>19</v>
      </c>
      <c r="G88" s="1">
        <v>0</v>
      </c>
      <c r="H88" s="1" t="s">
        <v>13</v>
      </c>
    </row>
    <row r="89" spans="1:8" x14ac:dyDescent="0.3">
      <c r="A89" s="1" t="s">
        <v>275</v>
      </c>
      <c r="B89" s="1" t="s">
        <v>116</v>
      </c>
      <c r="C89" s="1" t="s">
        <v>55</v>
      </c>
      <c r="D89" s="2">
        <v>43301</v>
      </c>
      <c r="E89" s="1">
        <v>120000</v>
      </c>
      <c r="F89" s="1" t="s">
        <v>25</v>
      </c>
      <c r="G89" s="1">
        <v>0</v>
      </c>
      <c r="H89" s="1" t="s">
        <v>20</v>
      </c>
    </row>
    <row r="90" spans="1:8" x14ac:dyDescent="0.3">
      <c r="A90" s="1" t="s">
        <v>276</v>
      </c>
      <c r="B90" s="1" t="s">
        <v>277</v>
      </c>
      <c r="C90" s="1" t="s">
        <v>10</v>
      </c>
      <c r="D90" s="2">
        <v>44197</v>
      </c>
      <c r="E90" s="1" t="s">
        <v>175</v>
      </c>
      <c r="F90" s="1" t="s">
        <v>12</v>
      </c>
      <c r="G90" s="1">
        <v>20000</v>
      </c>
      <c r="H90" s="1" t="s">
        <v>41</v>
      </c>
    </row>
    <row r="91" spans="1:8" x14ac:dyDescent="0.3">
      <c r="A91" s="1" t="s">
        <v>278</v>
      </c>
      <c r="B91" s="1" t="s">
        <v>279</v>
      </c>
      <c r="C91" s="1" t="s">
        <v>16</v>
      </c>
      <c r="D91" s="3" t="s">
        <v>280</v>
      </c>
      <c r="E91" s="1">
        <v>105000</v>
      </c>
      <c r="F91" s="1" t="s">
        <v>30</v>
      </c>
      <c r="G91" s="1">
        <v>20500</v>
      </c>
      <c r="H91" s="1">
        <v>0</v>
      </c>
    </row>
    <row r="92" spans="1:8" x14ac:dyDescent="0.3">
      <c r="A92" s="1" t="s">
        <v>281</v>
      </c>
      <c r="B92" s="1" t="s">
        <v>282</v>
      </c>
      <c r="C92" s="1" t="s">
        <v>28</v>
      </c>
      <c r="D92" s="2">
        <v>43225</v>
      </c>
      <c r="E92" s="1" t="s">
        <v>127</v>
      </c>
      <c r="F92" s="1" t="s">
        <v>25</v>
      </c>
      <c r="G92" s="1">
        <v>28000</v>
      </c>
      <c r="H92" s="1" t="s">
        <v>20</v>
      </c>
    </row>
    <row r="93" spans="1:8" x14ac:dyDescent="0.3">
      <c r="A93" s="1" t="s">
        <v>283</v>
      </c>
      <c r="B93" s="1" t="s">
        <v>284</v>
      </c>
      <c r="C93" s="1" t="s">
        <v>44</v>
      </c>
      <c r="D93" s="3" t="s">
        <v>285</v>
      </c>
      <c r="E93" s="1">
        <v>135000</v>
      </c>
      <c r="F93" s="1" t="s">
        <v>12</v>
      </c>
      <c r="G93" s="1">
        <v>0</v>
      </c>
      <c r="H93" s="1">
        <v>1</v>
      </c>
    </row>
    <row r="94" spans="1:8" x14ac:dyDescent="0.3">
      <c r="A94" s="1" t="s">
        <v>286</v>
      </c>
      <c r="B94" s="1" t="s">
        <v>287</v>
      </c>
      <c r="C94" s="1" t="s">
        <v>55</v>
      </c>
      <c r="D94" s="2">
        <v>42780</v>
      </c>
      <c r="E94" s="1" t="s">
        <v>142</v>
      </c>
      <c r="F94" s="1" t="s">
        <v>19</v>
      </c>
      <c r="G94" s="1">
        <v>0</v>
      </c>
      <c r="H94" s="1" t="s">
        <v>13</v>
      </c>
    </row>
    <row r="95" spans="1:8" x14ac:dyDescent="0.3">
      <c r="A95" s="1" t="s">
        <v>288</v>
      </c>
      <c r="B95" s="1" t="s">
        <v>289</v>
      </c>
      <c r="C95" s="1" t="s">
        <v>10</v>
      </c>
      <c r="D95" s="2">
        <v>42674</v>
      </c>
      <c r="E95" s="1" t="s">
        <v>290</v>
      </c>
      <c r="F95" s="1" t="s">
        <v>12</v>
      </c>
      <c r="G95" s="1">
        <v>35000</v>
      </c>
      <c r="H95" s="1" t="s">
        <v>31</v>
      </c>
    </row>
    <row r="96" spans="1:8" x14ac:dyDescent="0.3">
      <c r="A96" s="1" t="s">
        <v>291</v>
      </c>
      <c r="B96" s="1" t="s">
        <v>292</v>
      </c>
      <c r="C96" s="1" t="s">
        <v>23</v>
      </c>
      <c r="D96" s="1" t="s">
        <v>293</v>
      </c>
      <c r="E96" s="1">
        <v>155000</v>
      </c>
      <c r="F96" s="1" t="s">
        <v>25</v>
      </c>
      <c r="G96" s="1">
        <v>34000</v>
      </c>
      <c r="H96" s="1" t="s">
        <v>41</v>
      </c>
    </row>
    <row r="97" spans="1:8" x14ac:dyDescent="0.3">
      <c r="A97" s="1" t="s">
        <v>294</v>
      </c>
      <c r="B97" s="1" t="s">
        <v>295</v>
      </c>
      <c r="C97" s="1" t="s">
        <v>28</v>
      </c>
      <c r="D97" s="2">
        <v>42224</v>
      </c>
      <c r="E97" s="1" t="s">
        <v>296</v>
      </c>
      <c r="F97" s="1" t="s">
        <v>12</v>
      </c>
      <c r="G97" s="1">
        <v>40000</v>
      </c>
      <c r="H97" s="1" t="s">
        <v>20</v>
      </c>
    </row>
    <row r="98" spans="1:8" x14ac:dyDescent="0.3">
      <c r="A98" s="1" t="s">
        <v>297</v>
      </c>
      <c r="B98" s="1" t="s">
        <v>298</v>
      </c>
      <c r="C98" s="1" t="s">
        <v>34</v>
      </c>
      <c r="D98" s="3" t="s">
        <v>299</v>
      </c>
      <c r="E98" s="1">
        <v>175000</v>
      </c>
      <c r="F98" s="1" t="s">
        <v>30</v>
      </c>
      <c r="G98" s="1">
        <v>39000</v>
      </c>
      <c r="H98" s="1">
        <v>1</v>
      </c>
    </row>
    <row r="99" spans="1:8" x14ac:dyDescent="0.3">
      <c r="A99" s="1" t="s">
        <v>300</v>
      </c>
      <c r="B99" s="1" t="s">
        <v>126</v>
      </c>
      <c r="C99" s="1" t="s">
        <v>28</v>
      </c>
      <c r="D99" s="2">
        <v>43971</v>
      </c>
      <c r="E99" s="1" t="s">
        <v>127</v>
      </c>
      <c r="F99" s="1" t="s">
        <v>12</v>
      </c>
      <c r="G99" s="1">
        <v>30000</v>
      </c>
      <c r="H99" s="1" t="s">
        <v>20</v>
      </c>
    </row>
    <row r="100" spans="1:8" x14ac:dyDescent="0.3">
      <c r="A100" s="1" t="s">
        <v>301</v>
      </c>
      <c r="B100" s="1" t="s">
        <v>302</v>
      </c>
      <c r="C100" s="1" t="s">
        <v>44</v>
      </c>
      <c r="D100" s="2">
        <v>44520</v>
      </c>
      <c r="E100" s="1" t="s">
        <v>49</v>
      </c>
      <c r="F100" s="1" t="s">
        <v>19</v>
      </c>
      <c r="G100" s="1">
        <v>0</v>
      </c>
      <c r="H100" s="1" t="s">
        <v>13</v>
      </c>
    </row>
    <row r="101" spans="1:8" x14ac:dyDescent="0.3">
      <c r="A101" s="1" t="s">
        <v>303</v>
      </c>
      <c r="B101" s="1" t="s">
        <v>304</v>
      </c>
      <c r="C101" s="1" t="s">
        <v>55</v>
      </c>
      <c r="D101" s="1" t="s">
        <v>305</v>
      </c>
      <c r="E101" s="1">
        <v>95000</v>
      </c>
      <c r="F101" s="1" t="s">
        <v>25</v>
      </c>
      <c r="G101" s="1">
        <v>0</v>
      </c>
      <c r="H101" s="1" t="s">
        <v>20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A3854-3455-42A6-84C8-CC6FA2646F73}">
  <dimension ref="A1:H101"/>
  <sheetViews>
    <sheetView zoomScaleNormal="100" workbookViewId="0"/>
  </sheetViews>
  <sheetFormatPr defaultColWidth="11.5546875" defaultRowHeight="13.8" x14ac:dyDescent="0.3"/>
  <cols>
    <col min="1" max="1" width="12.6640625" style="1" customWidth="1"/>
    <col min="2" max="2" width="19.88671875" style="1" customWidth="1"/>
    <col min="3" max="3" width="16.44140625" style="1" customWidth="1"/>
    <col min="4" max="4" width="10.5546875" style="10" bestFit="1" customWidth="1"/>
    <col min="5" max="5" width="12" style="8" bestFit="1" customWidth="1"/>
    <col min="6" max="6" width="17.77734375" style="1" customWidth="1"/>
    <col min="7" max="7" width="16" style="8" customWidth="1"/>
    <col min="8" max="8" width="14.5546875" style="1" customWidth="1"/>
    <col min="9" max="9" width="11.5546875" style="1"/>
    <col min="10" max="10" width="11.44140625" style="1" customWidth="1"/>
    <col min="11" max="11" width="12.44140625" style="1" bestFit="1" customWidth="1"/>
    <col min="12" max="16384" width="11.5546875" style="1"/>
  </cols>
  <sheetData>
    <row r="1" spans="1:8" x14ac:dyDescent="0.3">
      <c r="A1" s="5" t="s">
        <v>306</v>
      </c>
      <c r="B1" s="5" t="s">
        <v>307</v>
      </c>
      <c r="C1" s="5" t="s">
        <v>2</v>
      </c>
      <c r="D1" s="9" t="s">
        <v>308</v>
      </c>
      <c r="E1" s="7" t="s">
        <v>4</v>
      </c>
      <c r="F1" s="5" t="s">
        <v>309</v>
      </c>
      <c r="G1" s="7" t="s">
        <v>310</v>
      </c>
      <c r="H1" s="5" t="s">
        <v>311</v>
      </c>
    </row>
    <row r="2" spans="1:8" x14ac:dyDescent="0.3">
      <c r="A2" s="4" t="s">
        <v>8</v>
      </c>
      <c r="B2" s="5" t="s">
        <v>9</v>
      </c>
      <c r="C2" s="5" t="s">
        <v>10</v>
      </c>
      <c r="D2" s="9" t="s">
        <v>343</v>
      </c>
      <c r="E2" s="7">
        <v>65000</v>
      </c>
      <c r="F2" s="5" t="s">
        <v>12</v>
      </c>
      <c r="G2" s="7">
        <v>12000</v>
      </c>
      <c r="H2" s="5" t="s">
        <v>13</v>
      </c>
    </row>
    <row r="3" spans="1:8" x14ac:dyDescent="0.3">
      <c r="A3" s="4" t="s">
        <v>14</v>
      </c>
      <c r="B3" s="5" t="s">
        <v>312</v>
      </c>
      <c r="C3" s="5" t="s">
        <v>10</v>
      </c>
      <c r="D3" s="9" t="s">
        <v>17</v>
      </c>
      <c r="E3" s="7">
        <v>62000</v>
      </c>
      <c r="F3" s="5" t="s">
        <v>19</v>
      </c>
      <c r="G3" s="7">
        <v>8500</v>
      </c>
      <c r="H3" s="5" t="s">
        <v>20</v>
      </c>
    </row>
    <row r="4" spans="1:8" x14ac:dyDescent="0.3">
      <c r="A4" s="4" t="s">
        <v>21</v>
      </c>
      <c r="B4" s="5" t="s">
        <v>51</v>
      </c>
      <c r="C4" s="5" t="s">
        <v>10</v>
      </c>
      <c r="D4" s="9" t="s">
        <v>344</v>
      </c>
      <c r="E4" s="7">
        <v>68000</v>
      </c>
      <c r="F4" s="5" t="s">
        <v>318</v>
      </c>
      <c r="G4" s="7">
        <v>9200</v>
      </c>
      <c r="H4" s="5" t="s">
        <v>13</v>
      </c>
    </row>
    <row r="5" spans="1:8" x14ac:dyDescent="0.3">
      <c r="A5" s="4" t="s">
        <v>26</v>
      </c>
      <c r="B5" s="5" t="s">
        <v>27</v>
      </c>
      <c r="C5" s="5" t="s">
        <v>28</v>
      </c>
      <c r="D5" s="9" t="s">
        <v>321</v>
      </c>
      <c r="E5" s="7">
        <v>72000</v>
      </c>
      <c r="F5" s="5" t="s">
        <v>12</v>
      </c>
      <c r="G5" s="7">
        <v>15000</v>
      </c>
      <c r="H5" s="5" t="s">
        <v>20</v>
      </c>
    </row>
    <row r="6" spans="1:8" x14ac:dyDescent="0.3">
      <c r="A6" s="4" t="s">
        <v>32</v>
      </c>
      <c r="B6" s="5" t="s">
        <v>313</v>
      </c>
      <c r="C6" s="5" t="s">
        <v>28</v>
      </c>
      <c r="D6" s="9" t="s">
        <v>321</v>
      </c>
      <c r="E6" s="7">
        <v>70000</v>
      </c>
      <c r="F6" s="5" t="s">
        <v>319</v>
      </c>
      <c r="G6" s="7">
        <v>11000</v>
      </c>
      <c r="H6" s="5" t="s">
        <v>13</v>
      </c>
    </row>
    <row r="7" spans="1:8" x14ac:dyDescent="0.3">
      <c r="A7" s="4" t="s">
        <v>37</v>
      </c>
      <c r="B7" s="5" t="s">
        <v>38</v>
      </c>
      <c r="C7" s="5" t="s">
        <v>28</v>
      </c>
      <c r="D7" s="9" t="s">
        <v>320</v>
      </c>
      <c r="E7" s="7">
        <v>71000</v>
      </c>
      <c r="F7" s="6" t="s">
        <v>12</v>
      </c>
      <c r="G7" s="7">
        <v>13500</v>
      </c>
      <c r="H7" s="5" t="s">
        <v>13</v>
      </c>
    </row>
    <row r="8" spans="1:8" x14ac:dyDescent="0.3">
      <c r="A8" s="4" t="s">
        <v>42</v>
      </c>
      <c r="B8" s="5" t="s">
        <v>43</v>
      </c>
      <c r="C8" s="5" t="s">
        <v>44</v>
      </c>
      <c r="D8" s="9" t="s">
        <v>345</v>
      </c>
      <c r="E8" s="7">
        <v>95000</v>
      </c>
      <c r="F8" s="5" t="s">
        <v>19</v>
      </c>
      <c r="G8" s="7">
        <v>0</v>
      </c>
      <c r="H8" s="5" t="s">
        <v>20</v>
      </c>
    </row>
    <row r="9" spans="1:8" x14ac:dyDescent="0.3">
      <c r="A9" s="4" t="s">
        <v>45</v>
      </c>
      <c r="B9" s="5" t="s">
        <v>314</v>
      </c>
      <c r="C9" s="5" t="s">
        <v>44</v>
      </c>
      <c r="D9" s="9" t="s">
        <v>345</v>
      </c>
      <c r="E9" s="7">
        <v>92000</v>
      </c>
      <c r="F9" s="5" t="s">
        <v>318</v>
      </c>
      <c r="G9" s="7">
        <v>0</v>
      </c>
      <c r="H9" s="5" t="s">
        <v>20</v>
      </c>
    </row>
    <row r="10" spans="1:8" x14ac:dyDescent="0.3">
      <c r="A10" s="4" t="s">
        <v>50</v>
      </c>
      <c r="B10" s="5" t="s">
        <v>51</v>
      </c>
      <c r="C10" s="5" t="s">
        <v>10</v>
      </c>
      <c r="D10" s="9" t="s">
        <v>344</v>
      </c>
      <c r="E10" s="7">
        <v>68000</v>
      </c>
      <c r="F10" s="5" t="s">
        <v>318</v>
      </c>
      <c r="G10" s="7">
        <v>9200</v>
      </c>
      <c r="H10" s="5" t="s">
        <v>13</v>
      </c>
    </row>
    <row r="11" spans="1:8" x14ac:dyDescent="0.3">
      <c r="A11" s="4" t="s">
        <v>53</v>
      </c>
      <c r="B11" s="5" t="s">
        <v>54</v>
      </c>
      <c r="C11" s="5" t="s">
        <v>55</v>
      </c>
      <c r="D11" s="9" t="s">
        <v>346</v>
      </c>
      <c r="E11" s="7">
        <v>55000</v>
      </c>
      <c r="F11" s="5" t="s">
        <v>56</v>
      </c>
      <c r="G11" s="7">
        <v>0</v>
      </c>
      <c r="H11" s="5" t="s">
        <v>20</v>
      </c>
    </row>
    <row r="12" spans="1:8" x14ac:dyDescent="0.3">
      <c r="A12" s="4" t="s">
        <v>57</v>
      </c>
      <c r="B12" s="5" t="s">
        <v>58</v>
      </c>
      <c r="C12" s="5" t="s">
        <v>55</v>
      </c>
      <c r="D12" s="9" t="s">
        <v>346</v>
      </c>
      <c r="E12" s="7">
        <v>58000</v>
      </c>
      <c r="F12" s="5" t="s">
        <v>19</v>
      </c>
      <c r="G12" s="7">
        <v>0</v>
      </c>
      <c r="H12" s="5" t="s">
        <v>20</v>
      </c>
    </row>
    <row r="13" spans="1:8" x14ac:dyDescent="0.3">
      <c r="A13" s="4" t="s">
        <v>62</v>
      </c>
      <c r="B13" s="5" t="s">
        <v>63</v>
      </c>
      <c r="C13" s="5" t="s">
        <v>10</v>
      </c>
      <c r="D13" s="9" t="s">
        <v>347</v>
      </c>
      <c r="E13" s="7">
        <v>60000</v>
      </c>
      <c r="F13" s="5" t="s">
        <v>12</v>
      </c>
      <c r="G13" s="7">
        <v>7000</v>
      </c>
      <c r="H13" s="5" t="s">
        <v>13</v>
      </c>
    </row>
    <row r="14" spans="1:8" x14ac:dyDescent="0.3">
      <c r="A14" s="4" t="s">
        <v>65</v>
      </c>
      <c r="B14" s="5" t="s">
        <v>66</v>
      </c>
      <c r="C14" s="5" t="s">
        <v>10</v>
      </c>
      <c r="D14" s="9" t="s">
        <v>347</v>
      </c>
      <c r="E14" s="7">
        <v>61000</v>
      </c>
      <c r="F14" s="5" t="s">
        <v>19</v>
      </c>
      <c r="G14" s="7">
        <v>6500</v>
      </c>
      <c r="H14" s="5" t="s">
        <v>13</v>
      </c>
    </row>
    <row r="15" spans="1:8" x14ac:dyDescent="0.3">
      <c r="A15" s="4" t="s">
        <v>69</v>
      </c>
      <c r="B15" s="5" t="s">
        <v>70</v>
      </c>
      <c r="C15" s="5" t="s">
        <v>28</v>
      </c>
      <c r="D15" s="9" t="s">
        <v>348</v>
      </c>
      <c r="E15" s="7">
        <v>75000</v>
      </c>
      <c r="F15" s="5" t="s">
        <v>12</v>
      </c>
      <c r="G15" s="7">
        <v>18000</v>
      </c>
      <c r="H15" s="5" t="s">
        <v>20</v>
      </c>
    </row>
    <row r="16" spans="1:8" x14ac:dyDescent="0.3">
      <c r="A16" s="4" t="s">
        <v>71</v>
      </c>
      <c r="B16" s="5" t="s">
        <v>315</v>
      </c>
      <c r="C16" s="5" t="s">
        <v>28</v>
      </c>
      <c r="D16" s="9" t="s">
        <v>348</v>
      </c>
      <c r="E16" s="7">
        <v>77000</v>
      </c>
      <c r="F16" s="5" t="s">
        <v>12</v>
      </c>
      <c r="G16" s="7">
        <v>19500</v>
      </c>
      <c r="H16" s="5" t="s">
        <v>13</v>
      </c>
    </row>
    <row r="17" spans="1:8" x14ac:dyDescent="0.3">
      <c r="A17" s="4" t="s">
        <v>76</v>
      </c>
      <c r="B17" s="5" t="s">
        <v>77</v>
      </c>
      <c r="C17" s="5" t="s">
        <v>44</v>
      </c>
      <c r="D17" s="9" t="s">
        <v>349</v>
      </c>
      <c r="E17" s="7">
        <v>88000</v>
      </c>
      <c r="F17" s="5" t="s">
        <v>318</v>
      </c>
      <c r="G17" s="7">
        <v>0</v>
      </c>
      <c r="H17" s="5" t="s">
        <v>13</v>
      </c>
    </row>
    <row r="18" spans="1:8" x14ac:dyDescent="0.3">
      <c r="A18" s="4" t="s">
        <v>78</v>
      </c>
      <c r="B18" s="5" t="s">
        <v>79</v>
      </c>
      <c r="C18" s="5" t="s">
        <v>44</v>
      </c>
      <c r="D18" s="9" t="s">
        <v>349</v>
      </c>
      <c r="E18" s="7">
        <v>85000</v>
      </c>
      <c r="F18" s="5" t="s">
        <v>319</v>
      </c>
      <c r="G18" s="7">
        <v>0</v>
      </c>
      <c r="H18" s="5" t="s">
        <v>20</v>
      </c>
    </row>
    <row r="19" spans="1:8" x14ac:dyDescent="0.3">
      <c r="A19" s="4" t="s">
        <v>82</v>
      </c>
      <c r="B19" s="5" t="s">
        <v>83</v>
      </c>
      <c r="C19" s="5" t="s">
        <v>10</v>
      </c>
      <c r="D19" s="9" t="s">
        <v>350</v>
      </c>
      <c r="E19" s="7">
        <v>59000</v>
      </c>
      <c r="F19" s="5" t="s">
        <v>19</v>
      </c>
      <c r="G19" s="7">
        <v>5000</v>
      </c>
      <c r="H19" s="5" t="s">
        <v>20</v>
      </c>
    </row>
    <row r="20" spans="1:8" x14ac:dyDescent="0.3">
      <c r="A20" s="4" t="s">
        <v>84</v>
      </c>
      <c r="B20" s="5" t="s">
        <v>85</v>
      </c>
      <c r="C20" s="5" t="s">
        <v>10</v>
      </c>
      <c r="D20" s="9" t="s">
        <v>350</v>
      </c>
      <c r="E20" s="7">
        <v>60000</v>
      </c>
      <c r="F20" s="5" t="s">
        <v>318</v>
      </c>
      <c r="G20" s="7">
        <v>5200</v>
      </c>
      <c r="H20" s="5" t="s">
        <v>13</v>
      </c>
    </row>
    <row r="21" spans="1:8" x14ac:dyDescent="0.3">
      <c r="A21" s="4" t="s">
        <v>88</v>
      </c>
      <c r="B21" s="5" t="s">
        <v>89</v>
      </c>
      <c r="C21" s="5" t="s">
        <v>55</v>
      </c>
      <c r="D21" s="9" t="s">
        <v>322</v>
      </c>
      <c r="E21" s="7">
        <v>110000</v>
      </c>
      <c r="F21" s="5" t="s">
        <v>12</v>
      </c>
      <c r="G21" s="7">
        <v>0</v>
      </c>
      <c r="H21" s="5" t="s">
        <v>20</v>
      </c>
    </row>
    <row r="22" spans="1:8" x14ac:dyDescent="0.3">
      <c r="A22" s="4" t="s">
        <v>90</v>
      </c>
      <c r="B22" s="5" t="s">
        <v>91</v>
      </c>
      <c r="C22" s="5" t="s">
        <v>44</v>
      </c>
      <c r="D22" s="9" t="s">
        <v>322</v>
      </c>
      <c r="E22" s="7">
        <v>105000</v>
      </c>
      <c r="F22" s="5" t="s">
        <v>12</v>
      </c>
      <c r="G22" s="7">
        <v>0</v>
      </c>
      <c r="H22" s="5" t="s">
        <v>20</v>
      </c>
    </row>
    <row r="23" spans="1:8" x14ac:dyDescent="0.3">
      <c r="A23" s="4" t="s">
        <v>94</v>
      </c>
      <c r="B23" s="5" t="s">
        <v>95</v>
      </c>
      <c r="C23" s="5" t="s">
        <v>28</v>
      </c>
      <c r="D23" s="9" t="s">
        <v>324</v>
      </c>
      <c r="E23" s="7">
        <v>50000</v>
      </c>
      <c r="F23" s="5" t="s">
        <v>19</v>
      </c>
      <c r="G23" s="7">
        <v>2000</v>
      </c>
      <c r="H23" s="5" t="s">
        <v>13</v>
      </c>
    </row>
    <row r="24" spans="1:8" x14ac:dyDescent="0.3">
      <c r="A24" s="4" t="s">
        <v>97</v>
      </c>
      <c r="B24" s="5" t="s">
        <v>98</v>
      </c>
      <c r="C24" s="5" t="s">
        <v>28</v>
      </c>
      <c r="D24" s="9" t="s">
        <v>323</v>
      </c>
      <c r="E24" s="7">
        <v>52000</v>
      </c>
      <c r="F24" s="5" t="s">
        <v>12</v>
      </c>
      <c r="G24" s="7">
        <v>2500</v>
      </c>
      <c r="H24" s="5" t="s">
        <v>13</v>
      </c>
    </row>
    <row r="25" spans="1:8" x14ac:dyDescent="0.3">
      <c r="A25" s="4" t="s">
        <v>101</v>
      </c>
      <c r="B25" s="5" t="s">
        <v>102</v>
      </c>
      <c r="C25" s="5" t="s">
        <v>10</v>
      </c>
      <c r="D25" s="9" t="s">
        <v>351</v>
      </c>
      <c r="E25" s="7">
        <v>82000</v>
      </c>
      <c r="F25" s="5" t="s">
        <v>318</v>
      </c>
      <c r="G25" s="7">
        <v>11000</v>
      </c>
      <c r="H25" s="5" t="s">
        <v>20</v>
      </c>
    </row>
    <row r="26" spans="1:8" x14ac:dyDescent="0.3">
      <c r="A26" s="4" t="s">
        <v>103</v>
      </c>
      <c r="B26" s="5" t="s">
        <v>104</v>
      </c>
      <c r="C26" s="5" t="s">
        <v>10</v>
      </c>
      <c r="D26" s="9" t="s">
        <v>351</v>
      </c>
      <c r="E26" s="7">
        <v>80000</v>
      </c>
      <c r="F26" s="5" t="s">
        <v>319</v>
      </c>
      <c r="G26" s="7">
        <v>10500</v>
      </c>
      <c r="H26" s="5" t="s">
        <v>20</v>
      </c>
    </row>
    <row r="27" spans="1:8" x14ac:dyDescent="0.3">
      <c r="A27" s="4" t="s">
        <v>107</v>
      </c>
      <c r="B27" s="5" t="s">
        <v>108</v>
      </c>
      <c r="C27" s="5" t="s">
        <v>28</v>
      </c>
      <c r="D27" s="9" t="s">
        <v>326</v>
      </c>
      <c r="E27" s="7">
        <v>90000</v>
      </c>
      <c r="F27" s="5" t="s">
        <v>12</v>
      </c>
      <c r="G27" s="7">
        <v>22000</v>
      </c>
      <c r="H27" s="5" t="s">
        <v>13</v>
      </c>
    </row>
    <row r="28" spans="1:8" x14ac:dyDescent="0.3">
      <c r="A28" s="4" t="s">
        <v>109</v>
      </c>
      <c r="B28" s="5" t="s">
        <v>110</v>
      </c>
      <c r="C28" s="5" t="s">
        <v>44</v>
      </c>
      <c r="D28" s="9" t="s">
        <v>325</v>
      </c>
      <c r="E28" s="7">
        <v>95000</v>
      </c>
      <c r="F28" s="5" t="s">
        <v>19</v>
      </c>
      <c r="G28" s="7">
        <v>0</v>
      </c>
      <c r="H28" s="5" t="s">
        <v>13</v>
      </c>
    </row>
    <row r="29" spans="1:8" x14ac:dyDescent="0.3">
      <c r="A29" s="4" t="s">
        <v>113</v>
      </c>
      <c r="B29" s="5" t="s">
        <v>114</v>
      </c>
      <c r="C29" s="5" t="s">
        <v>55</v>
      </c>
      <c r="D29" s="9" t="s">
        <v>352</v>
      </c>
      <c r="E29" s="7">
        <v>120000</v>
      </c>
      <c r="F29" s="5" t="s">
        <v>318</v>
      </c>
      <c r="G29" s="7">
        <v>0</v>
      </c>
      <c r="H29" s="5" t="s">
        <v>20</v>
      </c>
    </row>
    <row r="30" spans="1:8" x14ac:dyDescent="0.3">
      <c r="A30" s="4" t="s">
        <v>115</v>
      </c>
      <c r="B30" s="5" t="s">
        <v>116</v>
      </c>
      <c r="C30" s="5" t="s">
        <v>55</v>
      </c>
      <c r="D30" s="9" t="s">
        <v>352</v>
      </c>
      <c r="E30" s="7">
        <v>125000</v>
      </c>
      <c r="F30" s="5" t="s">
        <v>12</v>
      </c>
      <c r="G30" s="7">
        <v>0</v>
      </c>
      <c r="H30" s="5" t="s">
        <v>20</v>
      </c>
    </row>
    <row r="31" spans="1:8" x14ac:dyDescent="0.3">
      <c r="A31" s="4" t="s">
        <v>119</v>
      </c>
      <c r="B31" s="5" t="s">
        <v>120</v>
      </c>
      <c r="C31" s="5" t="s">
        <v>10</v>
      </c>
      <c r="D31" s="9" t="s">
        <v>327</v>
      </c>
      <c r="E31" s="7">
        <v>64000</v>
      </c>
      <c r="F31" s="5" t="s">
        <v>19</v>
      </c>
      <c r="G31" s="7">
        <v>8000</v>
      </c>
      <c r="H31" s="5" t="s">
        <v>13</v>
      </c>
    </row>
    <row r="32" spans="1:8" x14ac:dyDescent="0.3">
      <c r="A32" s="4" t="s">
        <v>121</v>
      </c>
      <c r="B32" s="5" t="s">
        <v>316</v>
      </c>
      <c r="C32" s="5" t="s">
        <v>10</v>
      </c>
      <c r="D32" s="9" t="s">
        <v>327</v>
      </c>
      <c r="E32" s="7">
        <v>65000</v>
      </c>
      <c r="F32" s="5" t="s">
        <v>318</v>
      </c>
      <c r="G32" s="7">
        <v>8100</v>
      </c>
      <c r="H32" s="5" t="s">
        <v>13</v>
      </c>
    </row>
    <row r="33" spans="1:8" x14ac:dyDescent="0.3">
      <c r="A33" s="4" t="s">
        <v>125</v>
      </c>
      <c r="B33" s="5" t="s">
        <v>317</v>
      </c>
      <c r="C33" s="5" t="s">
        <v>28</v>
      </c>
      <c r="D33" s="9" t="s">
        <v>353</v>
      </c>
      <c r="E33" s="7">
        <v>130000</v>
      </c>
      <c r="F33" s="5" t="s">
        <v>12</v>
      </c>
      <c r="G33" s="7">
        <v>30000</v>
      </c>
      <c r="H33" s="5" t="s">
        <v>20</v>
      </c>
    </row>
    <row r="34" spans="1:8" x14ac:dyDescent="0.3">
      <c r="A34" s="4" t="s">
        <v>128</v>
      </c>
      <c r="B34" s="5" t="s">
        <v>129</v>
      </c>
      <c r="C34" s="5" t="s">
        <v>28</v>
      </c>
      <c r="D34" s="9" t="s">
        <v>353</v>
      </c>
      <c r="E34" s="7">
        <v>135000</v>
      </c>
      <c r="F34" s="5" t="s">
        <v>12</v>
      </c>
      <c r="G34" s="7">
        <v>31000</v>
      </c>
      <c r="H34" s="5" t="s">
        <v>20</v>
      </c>
    </row>
    <row r="35" spans="1:8" x14ac:dyDescent="0.3">
      <c r="A35" s="4" t="s">
        <v>131</v>
      </c>
      <c r="B35" s="5" t="s">
        <v>132</v>
      </c>
      <c r="C35" s="5" t="s">
        <v>44</v>
      </c>
      <c r="D35" s="9" t="s">
        <v>354</v>
      </c>
      <c r="E35" s="7">
        <v>110000</v>
      </c>
      <c r="F35" s="5" t="s">
        <v>318</v>
      </c>
      <c r="G35" s="7">
        <v>0</v>
      </c>
      <c r="H35" s="5" t="s">
        <v>13</v>
      </c>
    </row>
    <row r="36" spans="1:8" x14ac:dyDescent="0.3">
      <c r="A36" s="4" t="s">
        <v>133</v>
      </c>
      <c r="B36" s="5" t="s">
        <v>134</v>
      </c>
      <c r="C36" s="5" t="s">
        <v>44</v>
      </c>
      <c r="D36" s="9" t="s">
        <v>354</v>
      </c>
      <c r="E36" s="7">
        <v>115000</v>
      </c>
      <c r="F36" s="5" t="s">
        <v>319</v>
      </c>
      <c r="G36" s="7">
        <v>0</v>
      </c>
      <c r="H36" s="5" t="s">
        <v>13</v>
      </c>
    </row>
    <row r="37" spans="1:8" x14ac:dyDescent="0.3">
      <c r="A37" s="4" t="s">
        <v>137</v>
      </c>
      <c r="B37" s="5" t="s">
        <v>138</v>
      </c>
      <c r="C37" s="5" t="s">
        <v>55</v>
      </c>
      <c r="D37" s="9" t="s">
        <v>355</v>
      </c>
      <c r="E37" s="7">
        <v>140000</v>
      </c>
      <c r="F37" s="5" t="s">
        <v>12</v>
      </c>
      <c r="G37" s="7">
        <v>0</v>
      </c>
      <c r="H37" s="5" t="s">
        <v>20</v>
      </c>
    </row>
    <row r="38" spans="1:8" x14ac:dyDescent="0.3">
      <c r="A38" s="4" t="s">
        <v>139</v>
      </c>
      <c r="B38" s="5" t="s">
        <v>140</v>
      </c>
      <c r="C38" s="5" t="s">
        <v>55</v>
      </c>
      <c r="D38" s="9" t="s">
        <v>355</v>
      </c>
      <c r="E38" s="7">
        <v>145000</v>
      </c>
      <c r="F38" s="5" t="s">
        <v>12</v>
      </c>
      <c r="G38" s="7">
        <v>0</v>
      </c>
      <c r="H38" s="5" t="s">
        <v>20</v>
      </c>
    </row>
    <row r="39" spans="1:8" x14ac:dyDescent="0.3">
      <c r="A39" s="4" t="s">
        <v>143</v>
      </c>
      <c r="B39" s="5" t="s">
        <v>144</v>
      </c>
      <c r="C39" s="5" t="s">
        <v>10</v>
      </c>
      <c r="D39" s="9" t="s">
        <v>356</v>
      </c>
      <c r="E39" s="7">
        <v>88000</v>
      </c>
      <c r="F39" s="5" t="s">
        <v>19</v>
      </c>
      <c r="G39" s="7">
        <v>14000</v>
      </c>
      <c r="H39" s="5" t="s">
        <v>13</v>
      </c>
    </row>
    <row r="40" spans="1:8" x14ac:dyDescent="0.3">
      <c r="A40" s="4" t="s">
        <v>146</v>
      </c>
      <c r="B40" s="5" t="s">
        <v>147</v>
      </c>
      <c r="C40" s="5" t="s">
        <v>10</v>
      </c>
      <c r="D40" s="9" t="s">
        <v>356</v>
      </c>
      <c r="E40" s="7">
        <v>90000</v>
      </c>
      <c r="F40" s="5" t="s">
        <v>318</v>
      </c>
      <c r="G40" s="7">
        <v>14500</v>
      </c>
      <c r="H40" s="5" t="s">
        <v>13</v>
      </c>
    </row>
    <row r="41" spans="1:8" x14ac:dyDescent="0.3">
      <c r="A41" s="4" t="s">
        <v>149</v>
      </c>
      <c r="B41" s="5" t="s">
        <v>150</v>
      </c>
      <c r="C41" s="5" t="s">
        <v>28</v>
      </c>
      <c r="D41" s="9" t="s">
        <v>329</v>
      </c>
      <c r="E41" s="7">
        <v>85000</v>
      </c>
      <c r="F41" s="5" t="s">
        <v>12</v>
      </c>
      <c r="G41" s="7">
        <v>16000</v>
      </c>
      <c r="H41" s="5" t="s">
        <v>20</v>
      </c>
    </row>
    <row r="42" spans="1:8" x14ac:dyDescent="0.3">
      <c r="A42" s="4" t="s">
        <v>151</v>
      </c>
      <c r="B42" s="5" t="s">
        <v>152</v>
      </c>
      <c r="C42" s="5" t="s">
        <v>28</v>
      </c>
      <c r="D42" s="9" t="s">
        <v>328</v>
      </c>
      <c r="E42" s="7">
        <v>87000</v>
      </c>
      <c r="F42" s="5" t="s">
        <v>12</v>
      </c>
      <c r="G42" s="7">
        <v>16500</v>
      </c>
      <c r="H42" s="5" t="s">
        <v>20</v>
      </c>
    </row>
    <row r="43" spans="1:8" x14ac:dyDescent="0.3">
      <c r="A43" s="4" t="s">
        <v>155</v>
      </c>
      <c r="B43" s="5" t="s">
        <v>156</v>
      </c>
      <c r="C43" s="5" t="s">
        <v>44</v>
      </c>
      <c r="D43" s="9" t="s">
        <v>357</v>
      </c>
      <c r="E43" s="7">
        <v>80000</v>
      </c>
      <c r="F43" s="5" t="s">
        <v>19</v>
      </c>
      <c r="G43" s="7">
        <v>0</v>
      </c>
      <c r="H43" s="5" t="s">
        <v>13</v>
      </c>
    </row>
    <row r="44" spans="1:8" x14ac:dyDescent="0.3">
      <c r="A44" s="4" t="s">
        <v>157</v>
      </c>
      <c r="B44" s="5" t="s">
        <v>158</v>
      </c>
      <c r="C44" s="5" t="s">
        <v>44</v>
      </c>
      <c r="D44" s="9" t="s">
        <v>357</v>
      </c>
      <c r="E44" s="7">
        <v>82000</v>
      </c>
      <c r="F44" s="5" t="s">
        <v>318</v>
      </c>
      <c r="G44" s="7">
        <v>0</v>
      </c>
      <c r="H44" s="5" t="s">
        <v>13</v>
      </c>
    </row>
    <row r="45" spans="1:8" x14ac:dyDescent="0.3">
      <c r="A45" s="4" t="s">
        <v>161</v>
      </c>
      <c r="B45" s="5" t="s">
        <v>162</v>
      </c>
      <c r="C45" s="5" t="s">
        <v>55</v>
      </c>
      <c r="D45" s="9" t="s">
        <v>358</v>
      </c>
      <c r="E45" s="7">
        <v>150000</v>
      </c>
      <c r="F45" s="5" t="s">
        <v>12</v>
      </c>
      <c r="G45" s="7">
        <v>0</v>
      </c>
      <c r="H45" s="5" t="s">
        <v>20</v>
      </c>
    </row>
    <row r="46" spans="1:8" x14ac:dyDescent="0.3">
      <c r="A46" s="4" t="s">
        <v>164</v>
      </c>
      <c r="B46" s="5" t="s">
        <v>165</v>
      </c>
      <c r="C46" s="5" t="s">
        <v>55</v>
      </c>
      <c r="D46" s="9" t="s">
        <v>358</v>
      </c>
      <c r="E46" s="7">
        <v>155000</v>
      </c>
      <c r="F46" s="5" t="s">
        <v>12</v>
      </c>
      <c r="G46" s="7">
        <v>0</v>
      </c>
      <c r="H46" s="5" t="s">
        <v>20</v>
      </c>
    </row>
    <row r="47" spans="1:8" x14ac:dyDescent="0.3">
      <c r="A47" s="4" t="s">
        <v>167</v>
      </c>
      <c r="B47" s="5" t="s">
        <v>168</v>
      </c>
      <c r="C47" s="5" t="s">
        <v>10</v>
      </c>
      <c r="D47" s="9" t="s">
        <v>331</v>
      </c>
      <c r="E47" s="7">
        <v>62000</v>
      </c>
      <c r="F47" s="5" t="s">
        <v>19</v>
      </c>
      <c r="G47" s="7">
        <v>7500</v>
      </c>
      <c r="H47" s="5" t="s">
        <v>13</v>
      </c>
    </row>
    <row r="48" spans="1:8" x14ac:dyDescent="0.3">
      <c r="A48" s="4" t="s">
        <v>169</v>
      </c>
      <c r="B48" s="5" t="s">
        <v>170</v>
      </c>
      <c r="C48" s="5" t="s">
        <v>10</v>
      </c>
      <c r="D48" s="9" t="s">
        <v>330</v>
      </c>
      <c r="E48" s="7">
        <v>63000</v>
      </c>
      <c r="F48" s="5" t="s">
        <v>318</v>
      </c>
      <c r="G48" s="7">
        <v>7600</v>
      </c>
      <c r="H48" s="5" t="s">
        <v>13</v>
      </c>
    </row>
    <row r="49" spans="1:8" x14ac:dyDescent="0.3">
      <c r="A49" s="4" t="s">
        <v>173</v>
      </c>
      <c r="B49" s="5" t="s">
        <v>174</v>
      </c>
      <c r="C49" s="5" t="s">
        <v>28</v>
      </c>
      <c r="D49" s="9" t="s">
        <v>359</v>
      </c>
      <c r="E49" s="7">
        <v>100000</v>
      </c>
      <c r="F49" s="5" t="s">
        <v>12</v>
      </c>
      <c r="G49" s="7">
        <v>20000</v>
      </c>
      <c r="H49" s="5" t="s">
        <v>20</v>
      </c>
    </row>
    <row r="50" spans="1:8" x14ac:dyDescent="0.3">
      <c r="A50" s="4" t="s">
        <v>176</v>
      </c>
      <c r="B50" s="5" t="s">
        <v>177</v>
      </c>
      <c r="C50" s="5" t="s">
        <v>28</v>
      </c>
      <c r="D50" s="9" t="s">
        <v>359</v>
      </c>
      <c r="E50" s="7">
        <v>105000</v>
      </c>
      <c r="F50" s="5" t="s">
        <v>12</v>
      </c>
      <c r="G50" s="7">
        <v>21000</v>
      </c>
      <c r="H50" s="5" t="s">
        <v>20</v>
      </c>
    </row>
    <row r="51" spans="1:8" x14ac:dyDescent="0.3">
      <c r="A51" s="4" t="s">
        <v>179</v>
      </c>
      <c r="B51" s="5" t="s">
        <v>180</v>
      </c>
      <c r="C51" s="5" t="s">
        <v>44</v>
      </c>
      <c r="D51" s="9" t="s">
        <v>360</v>
      </c>
      <c r="E51" s="7">
        <v>98000</v>
      </c>
      <c r="F51" s="5" t="s">
        <v>318</v>
      </c>
      <c r="G51" s="7">
        <v>0</v>
      </c>
      <c r="H51" s="5" t="s">
        <v>13</v>
      </c>
    </row>
    <row r="52" spans="1:8" x14ac:dyDescent="0.3">
      <c r="A52" s="4" t="s">
        <v>181</v>
      </c>
      <c r="B52" s="5" t="s">
        <v>182</v>
      </c>
      <c r="C52" s="5" t="s">
        <v>44</v>
      </c>
      <c r="D52" s="9" t="s">
        <v>360</v>
      </c>
      <c r="E52" s="7">
        <v>95000</v>
      </c>
      <c r="F52" s="5" t="s">
        <v>319</v>
      </c>
      <c r="G52" s="7">
        <v>0</v>
      </c>
      <c r="H52" s="5" t="s">
        <v>20</v>
      </c>
    </row>
    <row r="53" spans="1:8" x14ac:dyDescent="0.3">
      <c r="A53" s="4" t="s">
        <v>184</v>
      </c>
      <c r="B53" s="5" t="s">
        <v>185</v>
      </c>
      <c r="C53" s="5" t="s">
        <v>10</v>
      </c>
      <c r="D53" s="9" t="s">
        <v>332</v>
      </c>
      <c r="E53" s="7">
        <v>75000</v>
      </c>
      <c r="F53" s="5" t="s">
        <v>19</v>
      </c>
      <c r="G53" s="7">
        <v>10000</v>
      </c>
      <c r="H53" s="5" t="s">
        <v>20</v>
      </c>
    </row>
    <row r="54" spans="1:8" x14ac:dyDescent="0.3">
      <c r="A54" s="4" t="s">
        <v>187</v>
      </c>
      <c r="B54" s="5" t="s">
        <v>188</v>
      </c>
      <c r="C54" s="5" t="s">
        <v>10</v>
      </c>
      <c r="D54" s="9" t="s">
        <v>332</v>
      </c>
      <c r="E54" s="7">
        <v>77000</v>
      </c>
      <c r="F54" s="5" t="s">
        <v>318</v>
      </c>
      <c r="G54" s="7">
        <v>10200</v>
      </c>
      <c r="H54" s="5" t="s">
        <v>13</v>
      </c>
    </row>
    <row r="55" spans="1:8" x14ac:dyDescent="0.3">
      <c r="A55" s="4" t="s">
        <v>190</v>
      </c>
      <c r="B55" s="5" t="s">
        <v>191</v>
      </c>
      <c r="C55" s="5" t="s">
        <v>28</v>
      </c>
      <c r="D55" s="9" t="s">
        <v>361</v>
      </c>
      <c r="E55" s="7">
        <v>120000</v>
      </c>
      <c r="F55" s="5" t="s">
        <v>12</v>
      </c>
      <c r="G55" s="7">
        <v>25000</v>
      </c>
      <c r="H55" s="5" t="s">
        <v>13</v>
      </c>
    </row>
    <row r="56" spans="1:8" x14ac:dyDescent="0.3">
      <c r="A56" s="4" t="s">
        <v>193</v>
      </c>
      <c r="B56" s="5" t="s">
        <v>194</v>
      </c>
      <c r="C56" s="5" t="s">
        <v>28</v>
      </c>
      <c r="D56" s="9" t="s">
        <v>361</v>
      </c>
      <c r="E56" s="7">
        <v>125000</v>
      </c>
      <c r="F56" s="5" t="s">
        <v>12</v>
      </c>
      <c r="G56" s="7">
        <v>26000</v>
      </c>
      <c r="H56" s="5" t="s">
        <v>20</v>
      </c>
    </row>
    <row r="57" spans="1:8" x14ac:dyDescent="0.3">
      <c r="A57" s="4" t="s">
        <v>196</v>
      </c>
      <c r="B57" s="5" t="s">
        <v>197</v>
      </c>
      <c r="C57" s="5" t="s">
        <v>44</v>
      </c>
      <c r="D57" s="9" t="s">
        <v>333</v>
      </c>
      <c r="E57" s="7">
        <v>140000</v>
      </c>
      <c r="F57" s="5" t="s">
        <v>12</v>
      </c>
      <c r="G57" s="7">
        <v>0</v>
      </c>
      <c r="H57" s="5" t="s">
        <v>20</v>
      </c>
    </row>
    <row r="58" spans="1:8" x14ac:dyDescent="0.3">
      <c r="A58" s="4" t="s">
        <v>199</v>
      </c>
      <c r="B58" s="5" t="s">
        <v>200</v>
      </c>
      <c r="C58" s="5" t="s">
        <v>44</v>
      </c>
      <c r="D58" s="9" t="s">
        <v>333</v>
      </c>
      <c r="E58" s="7">
        <v>135000</v>
      </c>
      <c r="F58" s="5" t="s">
        <v>19</v>
      </c>
      <c r="G58" s="7">
        <v>0</v>
      </c>
      <c r="H58" s="5" t="s">
        <v>13</v>
      </c>
    </row>
    <row r="59" spans="1:8" x14ac:dyDescent="0.3">
      <c r="A59" s="4" t="s">
        <v>202</v>
      </c>
      <c r="B59" s="5" t="s">
        <v>203</v>
      </c>
      <c r="C59" s="5" t="s">
        <v>10</v>
      </c>
      <c r="D59" s="9" t="s">
        <v>334</v>
      </c>
      <c r="E59" s="7">
        <v>58000</v>
      </c>
      <c r="F59" s="5" t="s">
        <v>318</v>
      </c>
      <c r="G59" s="7">
        <v>6000</v>
      </c>
      <c r="H59" s="5" t="s">
        <v>13</v>
      </c>
    </row>
    <row r="60" spans="1:8" x14ac:dyDescent="0.3">
      <c r="A60" s="4" t="s">
        <v>204</v>
      </c>
      <c r="B60" s="5" t="s">
        <v>205</v>
      </c>
      <c r="C60" s="5" t="s">
        <v>10</v>
      </c>
      <c r="D60" s="9" t="s">
        <v>334</v>
      </c>
      <c r="E60" s="7">
        <v>60000</v>
      </c>
      <c r="F60" s="5" t="s">
        <v>19</v>
      </c>
      <c r="G60" s="7">
        <v>6200</v>
      </c>
      <c r="H60" s="5" t="s">
        <v>20</v>
      </c>
    </row>
    <row r="61" spans="1:8" x14ac:dyDescent="0.3">
      <c r="A61" s="4" t="s">
        <v>207</v>
      </c>
      <c r="B61" s="5" t="s">
        <v>208</v>
      </c>
      <c r="C61" s="5" t="s">
        <v>55</v>
      </c>
      <c r="D61" s="9" t="s">
        <v>335</v>
      </c>
      <c r="E61" s="7">
        <v>170000</v>
      </c>
      <c r="F61" s="5" t="s">
        <v>12</v>
      </c>
      <c r="G61" s="7">
        <v>0</v>
      </c>
      <c r="H61" s="5" t="s">
        <v>20</v>
      </c>
    </row>
    <row r="62" spans="1:8" x14ac:dyDescent="0.3">
      <c r="A62" s="4" t="s">
        <v>210</v>
      </c>
      <c r="B62" s="5" t="s">
        <v>211</v>
      </c>
      <c r="C62" s="5" t="s">
        <v>55</v>
      </c>
      <c r="D62" s="9" t="s">
        <v>335</v>
      </c>
      <c r="E62" s="7">
        <v>165000</v>
      </c>
      <c r="F62" s="5" t="s">
        <v>12</v>
      </c>
      <c r="G62" s="7">
        <v>0</v>
      </c>
      <c r="H62" s="5" t="s">
        <v>13</v>
      </c>
    </row>
    <row r="63" spans="1:8" x14ac:dyDescent="0.3">
      <c r="A63" s="4" t="s">
        <v>213</v>
      </c>
      <c r="B63" s="5" t="s">
        <v>214</v>
      </c>
      <c r="C63" s="5" t="s">
        <v>10</v>
      </c>
      <c r="D63" s="9" t="s">
        <v>362</v>
      </c>
      <c r="E63" s="7">
        <v>95000</v>
      </c>
      <c r="F63" s="5" t="s">
        <v>19</v>
      </c>
      <c r="G63" s="7">
        <v>15000</v>
      </c>
      <c r="H63" s="5" t="s">
        <v>13</v>
      </c>
    </row>
    <row r="64" spans="1:8" x14ac:dyDescent="0.3">
      <c r="A64" s="4" t="s">
        <v>215</v>
      </c>
      <c r="B64" s="5" t="s">
        <v>216</v>
      </c>
      <c r="C64" s="5" t="s">
        <v>10</v>
      </c>
      <c r="D64" s="9" t="s">
        <v>362</v>
      </c>
      <c r="E64" s="7">
        <v>98000</v>
      </c>
      <c r="F64" s="5" t="s">
        <v>318</v>
      </c>
      <c r="G64" s="7">
        <v>15500</v>
      </c>
      <c r="H64" s="5" t="s">
        <v>20</v>
      </c>
    </row>
    <row r="65" spans="1:8" x14ac:dyDescent="0.3">
      <c r="A65" s="4" t="s">
        <v>218</v>
      </c>
      <c r="B65" s="5" t="s">
        <v>177</v>
      </c>
      <c r="C65" s="5" t="s">
        <v>28</v>
      </c>
      <c r="D65" s="9" t="s">
        <v>359</v>
      </c>
      <c r="E65" s="7">
        <v>100000</v>
      </c>
      <c r="F65" s="5" t="s">
        <v>12</v>
      </c>
      <c r="G65" s="7">
        <v>20000</v>
      </c>
      <c r="H65" s="5" t="s">
        <v>20</v>
      </c>
    </row>
    <row r="66" spans="1:8" x14ac:dyDescent="0.3">
      <c r="A66" s="4" t="s">
        <v>219</v>
      </c>
      <c r="B66" s="5" t="s">
        <v>220</v>
      </c>
      <c r="C66" s="5" t="s">
        <v>28</v>
      </c>
      <c r="D66" s="9" t="s">
        <v>359</v>
      </c>
      <c r="E66" s="7">
        <v>102000</v>
      </c>
      <c r="F66" s="5" t="s">
        <v>12</v>
      </c>
      <c r="G66" s="7">
        <v>20500</v>
      </c>
      <c r="H66" s="5" t="s">
        <v>13</v>
      </c>
    </row>
    <row r="67" spans="1:8" x14ac:dyDescent="0.3">
      <c r="A67" s="4" t="s">
        <v>223</v>
      </c>
      <c r="B67" s="5" t="s">
        <v>224</v>
      </c>
      <c r="C67" s="5" t="s">
        <v>44</v>
      </c>
      <c r="D67" s="9" t="s">
        <v>336</v>
      </c>
      <c r="E67" s="7">
        <v>85000</v>
      </c>
      <c r="F67" s="5" t="s">
        <v>19</v>
      </c>
      <c r="G67" s="7">
        <v>0</v>
      </c>
      <c r="H67" s="5" t="s">
        <v>13</v>
      </c>
    </row>
    <row r="68" spans="1:8" x14ac:dyDescent="0.3">
      <c r="A68" s="4" t="s">
        <v>225</v>
      </c>
      <c r="B68" s="5" t="s">
        <v>226</v>
      </c>
      <c r="C68" s="5" t="s">
        <v>44</v>
      </c>
      <c r="D68" s="9" t="s">
        <v>336</v>
      </c>
      <c r="E68" s="7">
        <v>82000</v>
      </c>
      <c r="F68" s="5" t="s">
        <v>318</v>
      </c>
      <c r="G68" s="7">
        <v>0</v>
      </c>
      <c r="H68" s="5" t="s">
        <v>20</v>
      </c>
    </row>
    <row r="69" spans="1:8" x14ac:dyDescent="0.3">
      <c r="A69" s="4" t="s">
        <v>228</v>
      </c>
      <c r="B69" s="5" t="s">
        <v>229</v>
      </c>
      <c r="C69" s="5" t="s">
        <v>10</v>
      </c>
      <c r="D69" s="9" t="s">
        <v>363</v>
      </c>
      <c r="E69" s="7">
        <v>66000</v>
      </c>
      <c r="F69" s="5" t="s">
        <v>12</v>
      </c>
      <c r="G69" s="7">
        <v>9000</v>
      </c>
      <c r="H69" s="5" t="s">
        <v>20</v>
      </c>
    </row>
    <row r="70" spans="1:8" x14ac:dyDescent="0.3">
      <c r="A70" s="4" t="s">
        <v>231</v>
      </c>
      <c r="B70" s="5" t="s">
        <v>232</v>
      </c>
      <c r="C70" s="5" t="s">
        <v>10</v>
      </c>
      <c r="D70" s="9" t="s">
        <v>363</v>
      </c>
      <c r="E70" s="7">
        <v>64000</v>
      </c>
      <c r="F70" s="5" t="s">
        <v>19</v>
      </c>
      <c r="G70" s="7">
        <v>8800</v>
      </c>
      <c r="H70" s="5" t="s">
        <v>13</v>
      </c>
    </row>
    <row r="71" spans="1:8" x14ac:dyDescent="0.3">
      <c r="A71" s="4" t="s">
        <v>234</v>
      </c>
      <c r="B71" s="5" t="s">
        <v>235</v>
      </c>
      <c r="C71" s="5" t="s">
        <v>55</v>
      </c>
      <c r="D71" s="9" t="s">
        <v>364</v>
      </c>
      <c r="E71" s="7">
        <v>115000</v>
      </c>
      <c r="F71" s="5" t="s">
        <v>318</v>
      </c>
      <c r="G71" s="7">
        <v>0</v>
      </c>
      <c r="H71" s="5" t="s">
        <v>13</v>
      </c>
    </row>
    <row r="72" spans="1:8" x14ac:dyDescent="0.3">
      <c r="A72" s="4" t="s">
        <v>236</v>
      </c>
      <c r="B72" s="5" t="s">
        <v>237</v>
      </c>
      <c r="C72" s="5" t="s">
        <v>55</v>
      </c>
      <c r="D72" s="9" t="s">
        <v>364</v>
      </c>
      <c r="E72" s="7">
        <v>112000</v>
      </c>
      <c r="F72" s="5" t="s">
        <v>319</v>
      </c>
      <c r="G72" s="7">
        <v>0</v>
      </c>
      <c r="H72" s="5" t="s">
        <v>20</v>
      </c>
    </row>
    <row r="73" spans="1:8" x14ac:dyDescent="0.3">
      <c r="A73" s="4" t="s">
        <v>239</v>
      </c>
      <c r="B73" s="5" t="s">
        <v>240</v>
      </c>
      <c r="C73" s="5" t="s">
        <v>28</v>
      </c>
      <c r="D73" s="9" t="s">
        <v>365</v>
      </c>
      <c r="E73" s="7">
        <v>48000</v>
      </c>
      <c r="F73" s="5" t="s">
        <v>19</v>
      </c>
      <c r="G73" s="7">
        <v>1500</v>
      </c>
      <c r="H73" s="5" t="s">
        <v>20</v>
      </c>
    </row>
    <row r="74" spans="1:8" x14ac:dyDescent="0.3">
      <c r="A74" s="4" t="s">
        <v>242</v>
      </c>
      <c r="B74" s="5" t="s">
        <v>243</v>
      </c>
      <c r="C74" s="5" t="s">
        <v>28</v>
      </c>
      <c r="D74" s="9" t="s">
        <v>365</v>
      </c>
      <c r="E74" s="7">
        <v>50000</v>
      </c>
      <c r="F74" s="5" t="s">
        <v>318</v>
      </c>
      <c r="G74" s="7">
        <v>1800</v>
      </c>
      <c r="H74" s="5" t="s">
        <v>13</v>
      </c>
    </row>
    <row r="75" spans="1:8" x14ac:dyDescent="0.3">
      <c r="A75" s="4" t="s">
        <v>245</v>
      </c>
      <c r="B75" s="5" t="s">
        <v>246</v>
      </c>
      <c r="C75" s="5" t="s">
        <v>10</v>
      </c>
      <c r="D75" s="9" t="s">
        <v>366</v>
      </c>
      <c r="E75" s="7">
        <v>55000</v>
      </c>
      <c r="F75" s="5" t="s">
        <v>19</v>
      </c>
      <c r="G75" s="7">
        <v>4000</v>
      </c>
      <c r="H75" s="5" t="s">
        <v>13</v>
      </c>
    </row>
    <row r="76" spans="1:8" x14ac:dyDescent="0.3">
      <c r="A76" s="4" t="s">
        <v>248</v>
      </c>
      <c r="B76" s="5" t="s">
        <v>249</v>
      </c>
      <c r="C76" s="5" t="s">
        <v>10</v>
      </c>
      <c r="D76" s="9" t="s">
        <v>324</v>
      </c>
      <c r="E76" s="7">
        <v>50000</v>
      </c>
      <c r="F76" s="5" t="s">
        <v>19</v>
      </c>
      <c r="G76" s="7">
        <v>2000</v>
      </c>
      <c r="H76" s="5" t="s">
        <v>20</v>
      </c>
    </row>
    <row r="77" spans="1:8" x14ac:dyDescent="0.3">
      <c r="A77" s="4" t="s">
        <v>250</v>
      </c>
      <c r="B77" s="5" t="s">
        <v>70</v>
      </c>
      <c r="C77" s="5" t="s">
        <v>28</v>
      </c>
      <c r="D77" s="9" t="s">
        <v>348</v>
      </c>
      <c r="E77" s="7">
        <v>75000</v>
      </c>
      <c r="F77" s="5" t="s">
        <v>12</v>
      </c>
      <c r="G77" s="7">
        <v>18000</v>
      </c>
      <c r="H77" s="5" t="s">
        <v>20</v>
      </c>
    </row>
    <row r="78" spans="1:8" x14ac:dyDescent="0.3">
      <c r="A78" s="4" t="s">
        <v>251</v>
      </c>
      <c r="B78" s="5" t="s">
        <v>252</v>
      </c>
      <c r="C78" s="5" t="s">
        <v>44</v>
      </c>
      <c r="D78" s="9" t="s">
        <v>337</v>
      </c>
      <c r="E78" s="7">
        <v>110000</v>
      </c>
      <c r="F78" s="5" t="s">
        <v>12</v>
      </c>
      <c r="G78" s="7">
        <v>0</v>
      </c>
      <c r="H78" s="5" t="s">
        <v>13</v>
      </c>
    </row>
    <row r="79" spans="1:8" x14ac:dyDescent="0.3">
      <c r="A79" s="4" t="s">
        <v>254</v>
      </c>
      <c r="B79" s="5" t="s">
        <v>220</v>
      </c>
      <c r="C79" s="5" t="s">
        <v>28</v>
      </c>
      <c r="D79" s="9" t="s">
        <v>359</v>
      </c>
      <c r="E79" s="7">
        <v>102000</v>
      </c>
      <c r="F79" s="5" t="s">
        <v>12</v>
      </c>
      <c r="G79" s="7">
        <v>20500</v>
      </c>
      <c r="H79" s="5" t="s">
        <v>13</v>
      </c>
    </row>
    <row r="80" spans="1:8" x14ac:dyDescent="0.3">
      <c r="A80" s="4" t="s">
        <v>255</v>
      </c>
      <c r="B80" s="5" t="s">
        <v>132</v>
      </c>
      <c r="C80" s="5" t="s">
        <v>44</v>
      </c>
      <c r="D80" s="9" t="s">
        <v>354</v>
      </c>
      <c r="E80" s="7">
        <v>110000</v>
      </c>
      <c r="F80" s="5" t="s">
        <v>318</v>
      </c>
      <c r="G80" s="7">
        <v>0</v>
      </c>
      <c r="H80" s="5" t="s">
        <v>13</v>
      </c>
    </row>
    <row r="81" spans="1:8" x14ac:dyDescent="0.3">
      <c r="A81" s="4" t="s">
        <v>256</v>
      </c>
      <c r="B81" s="5" t="s">
        <v>257</v>
      </c>
      <c r="C81" s="5" t="s">
        <v>55</v>
      </c>
      <c r="D81" s="9" t="s">
        <v>338</v>
      </c>
      <c r="E81" s="7">
        <v>155000</v>
      </c>
      <c r="F81" s="5" t="s">
        <v>12</v>
      </c>
      <c r="G81" s="7">
        <v>0</v>
      </c>
      <c r="H81" s="5" t="s">
        <v>20</v>
      </c>
    </row>
    <row r="82" spans="1:8" x14ac:dyDescent="0.3">
      <c r="A82" s="4" t="s">
        <v>259</v>
      </c>
      <c r="B82" s="5" t="s">
        <v>140</v>
      </c>
      <c r="C82" s="5" t="s">
        <v>55</v>
      </c>
      <c r="D82" s="9" t="s">
        <v>355</v>
      </c>
      <c r="E82" s="7">
        <v>140000</v>
      </c>
      <c r="F82" s="5" t="s">
        <v>12</v>
      </c>
      <c r="G82" s="7">
        <v>0</v>
      </c>
      <c r="H82" s="5" t="s">
        <v>20</v>
      </c>
    </row>
    <row r="83" spans="1:8" x14ac:dyDescent="0.3">
      <c r="A83" s="4" t="s">
        <v>260</v>
      </c>
      <c r="B83" s="5" t="s">
        <v>261</v>
      </c>
      <c r="C83" s="5" t="s">
        <v>10</v>
      </c>
      <c r="D83" s="9" t="s">
        <v>367</v>
      </c>
      <c r="E83" s="7">
        <v>84000</v>
      </c>
      <c r="F83" s="5" t="s">
        <v>19</v>
      </c>
      <c r="G83" s="7">
        <v>12000</v>
      </c>
      <c r="H83" s="5" t="s">
        <v>13</v>
      </c>
    </row>
    <row r="84" spans="1:8" x14ac:dyDescent="0.3">
      <c r="A84" s="4" t="s">
        <v>263</v>
      </c>
      <c r="B84" s="5" t="s">
        <v>264</v>
      </c>
      <c r="C84" s="5" t="s">
        <v>10</v>
      </c>
      <c r="D84" s="9" t="s">
        <v>367</v>
      </c>
      <c r="E84" s="7">
        <v>82000</v>
      </c>
      <c r="F84" s="5" t="s">
        <v>318</v>
      </c>
      <c r="G84" s="7">
        <v>11500</v>
      </c>
      <c r="H84" s="5" t="s">
        <v>13</v>
      </c>
    </row>
    <row r="85" spans="1:8" x14ac:dyDescent="0.3">
      <c r="A85" s="4" t="s">
        <v>266</v>
      </c>
      <c r="B85" s="5" t="s">
        <v>267</v>
      </c>
      <c r="C85" s="5" t="s">
        <v>28</v>
      </c>
      <c r="D85" s="9" t="s">
        <v>368</v>
      </c>
      <c r="E85" s="7">
        <v>92000</v>
      </c>
      <c r="F85" s="5" t="s">
        <v>12</v>
      </c>
      <c r="G85" s="7">
        <v>21000</v>
      </c>
      <c r="H85" s="5" t="s">
        <v>20</v>
      </c>
    </row>
    <row r="86" spans="1:8" x14ac:dyDescent="0.3">
      <c r="A86" s="4" t="s">
        <v>268</v>
      </c>
      <c r="B86" s="5" t="s">
        <v>95</v>
      </c>
      <c r="C86" s="5" t="s">
        <v>28</v>
      </c>
      <c r="D86" s="9" t="s">
        <v>324</v>
      </c>
      <c r="E86" s="7">
        <v>50000</v>
      </c>
      <c r="F86" s="5" t="s">
        <v>19</v>
      </c>
      <c r="G86" s="7">
        <v>2000</v>
      </c>
      <c r="H86" s="5" t="s">
        <v>13</v>
      </c>
    </row>
    <row r="87" spans="1:8" x14ac:dyDescent="0.3">
      <c r="A87" s="4" t="s">
        <v>269</v>
      </c>
      <c r="B87" s="5" t="s">
        <v>270</v>
      </c>
      <c r="C87" s="5" t="s">
        <v>44</v>
      </c>
      <c r="D87" s="9" t="s">
        <v>339</v>
      </c>
      <c r="E87" s="7">
        <v>118000</v>
      </c>
      <c r="F87" s="5" t="s">
        <v>12</v>
      </c>
      <c r="G87" s="7">
        <v>0</v>
      </c>
      <c r="H87" s="5" t="s">
        <v>20</v>
      </c>
    </row>
    <row r="88" spans="1:8" x14ac:dyDescent="0.3">
      <c r="A88" s="4" t="s">
        <v>272</v>
      </c>
      <c r="B88" s="5" t="s">
        <v>273</v>
      </c>
      <c r="C88" s="5" t="s">
        <v>44</v>
      </c>
      <c r="D88" s="9" t="s">
        <v>339</v>
      </c>
      <c r="E88" s="7">
        <v>115000</v>
      </c>
      <c r="F88" s="5" t="s">
        <v>19</v>
      </c>
      <c r="G88" s="7">
        <v>0</v>
      </c>
      <c r="H88" s="5" t="s">
        <v>13</v>
      </c>
    </row>
    <row r="89" spans="1:8" x14ac:dyDescent="0.3">
      <c r="A89" s="4" t="s">
        <v>275</v>
      </c>
      <c r="B89" s="5" t="s">
        <v>116</v>
      </c>
      <c r="C89" s="5" t="s">
        <v>55</v>
      </c>
      <c r="D89" s="9" t="s">
        <v>352</v>
      </c>
      <c r="E89" s="7">
        <v>120000</v>
      </c>
      <c r="F89" s="5" t="s">
        <v>318</v>
      </c>
      <c r="G89" s="7">
        <v>0</v>
      </c>
      <c r="H89" s="5" t="s">
        <v>20</v>
      </c>
    </row>
    <row r="90" spans="1:8" x14ac:dyDescent="0.3">
      <c r="A90" s="4" t="s">
        <v>276</v>
      </c>
      <c r="B90" s="5" t="s">
        <v>277</v>
      </c>
      <c r="C90" s="5" t="s">
        <v>10</v>
      </c>
      <c r="D90" s="9" t="s">
        <v>340</v>
      </c>
      <c r="E90" s="7">
        <v>100000</v>
      </c>
      <c r="F90" s="5" t="s">
        <v>12</v>
      </c>
      <c r="G90" s="7">
        <v>20000</v>
      </c>
      <c r="H90" s="5" t="s">
        <v>13</v>
      </c>
    </row>
    <row r="91" spans="1:8" x14ac:dyDescent="0.3">
      <c r="A91" s="4" t="s">
        <v>278</v>
      </c>
      <c r="B91" s="5" t="s">
        <v>279</v>
      </c>
      <c r="C91" s="5" t="s">
        <v>10</v>
      </c>
      <c r="D91" s="9" t="s">
        <v>340</v>
      </c>
      <c r="E91" s="7">
        <v>105000</v>
      </c>
      <c r="F91" s="5" t="s">
        <v>12</v>
      </c>
      <c r="G91" s="7">
        <v>20500</v>
      </c>
      <c r="H91" s="5" t="s">
        <v>20</v>
      </c>
    </row>
    <row r="92" spans="1:8" x14ac:dyDescent="0.3">
      <c r="A92" s="4" t="s">
        <v>281</v>
      </c>
      <c r="B92" s="5" t="s">
        <v>282</v>
      </c>
      <c r="C92" s="5" t="s">
        <v>28</v>
      </c>
      <c r="D92" s="9" t="s">
        <v>341</v>
      </c>
      <c r="E92" s="7">
        <v>130000</v>
      </c>
      <c r="F92" s="5" t="s">
        <v>318</v>
      </c>
      <c r="G92" s="7">
        <v>28000</v>
      </c>
      <c r="H92" s="5" t="s">
        <v>20</v>
      </c>
    </row>
    <row r="93" spans="1:8" x14ac:dyDescent="0.3">
      <c r="A93" s="4" t="s">
        <v>283</v>
      </c>
      <c r="B93" s="5" t="s">
        <v>284</v>
      </c>
      <c r="C93" s="5" t="s">
        <v>44</v>
      </c>
      <c r="D93" s="9" t="s">
        <v>341</v>
      </c>
      <c r="E93" s="7">
        <v>135000</v>
      </c>
      <c r="F93" s="5" t="s">
        <v>12</v>
      </c>
      <c r="G93" s="7">
        <v>0</v>
      </c>
      <c r="H93" s="5" t="s">
        <v>13</v>
      </c>
    </row>
    <row r="94" spans="1:8" x14ac:dyDescent="0.3">
      <c r="A94" s="4" t="s">
        <v>286</v>
      </c>
      <c r="B94" s="5" t="s">
        <v>287</v>
      </c>
      <c r="C94" s="5" t="s">
        <v>55</v>
      </c>
      <c r="D94" s="9" t="s">
        <v>369</v>
      </c>
      <c r="E94" s="7">
        <v>145000</v>
      </c>
      <c r="F94" s="5" t="s">
        <v>19</v>
      </c>
      <c r="G94" s="7">
        <v>0</v>
      </c>
      <c r="H94" s="5" t="s">
        <v>13</v>
      </c>
    </row>
    <row r="95" spans="1:8" x14ac:dyDescent="0.3">
      <c r="A95" s="4" t="s">
        <v>288</v>
      </c>
      <c r="B95" s="5" t="s">
        <v>289</v>
      </c>
      <c r="C95" s="5" t="s">
        <v>10</v>
      </c>
      <c r="D95" s="9" t="s">
        <v>370</v>
      </c>
      <c r="E95" s="7">
        <v>160000</v>
      </c>
      <c r="F95" s="5" t="s">
        <v>12</v>
      </c>
      <c r="G95" s="7">
        <v>35000</v>
      </c>
      <c r="H95" s="5" t="s">
        <v>20</v>
      </c>
    </row>
    <row r="96" spans="1:8" x14ac:dyDescent="0.3">
      <c r="A96" s="4" t="s">
        <v>291</v>
      </c>
      <c r="B96" s="5" t="s">
        <v>292</v>
      </c>
      <c r="C96" s="5" t="s">
        <v>10</v>
      </c>
      <c r="D96" s="9" t="s">
        <v>370</v>
      </c>
      <c r="E96" s="7">
        <v>155000</v>
      </c>
      <c r="F96" s="5" t="s">
        <v>318</v>
      </c>
      <c r="G96" s="7">
        <v>34000</v>
      </c>
      <c r="H96" s="5" t="s">
        <v>13</v>
      </c>
    </row>
    <row r="97" spans="1:8" x14ac:dyDescent="0.3">
      <c r="A97" s="4" t="s">
        <v>294</v>
      </c>
      <c r="B97" s="5" t="s">
        <v>295</v>
      </c>
      <c r="C97" s="5" t="s">
        <v>28</v>
      </c>
      <c r="D97" s="9" t="s">
        <v>342</v>
      </c>
      <c r="E97" s="7">
        <v>180000</v>
      </c>
      <c r="F97" s="5" t="s">
        <v>12</v>
      </c>
      <c r="G97" s="7">
        <v>40000</v>
      </c>
      <c r="H97" s="5" t="s">
        <v>20</v>
      </c>
    </row>
    <row r="98" spans="1:8" x14ac:dyDescent="0.3">
      <c r="A98" s="4" t="s">
        <v>297</v>
      </c>
      <c r="B98" s="5" t="s">
        <v>298</v>
      </c>
      <c r="C98" s="5" t="s">
        <v>28</v>
      </c>
      <c r="D98" s="9" t="s">
        <v>342</v>
      </c>
      <c r="E98" s="7">
        <v>175000</v>
      </c>
      <c r="F98" s="5" t="s">
        <v>12</v>
      </c>
      <c r="G98" s="7">
        <v>39000</v>
      </c>
      <c r="H98" s="5" t="s">
        <v>13</v>
      </c>
    </row>
    <row r="99" spans="1:8" x14ac:dyDescent="0.3">
      <c r="A99" s="4" t="s">
        <v>300</v>
      </c>
      <c r="B99" s="5" t="s">
        <v>317</v>
      </c>
      <c r="C99" s="5" t="s">
        <v>28</v>
      </c>
      <c r="D99" s="9" t="s">
        <v>353</v>
      </c>
      <c r="E99" s="7">
        <v>130000</v>
      </c>
      <c r="F99" s="5" t="s">
        <v>12</v>
      </c>
      <c r="G99" s="7">
        <v>30000</v>
      </c>
      <c r="H99" s="5" t="s">
        <v>20</v>
      </c>
    </row>
    <row r="100" spans="1:8" x14ac:dyDescent="0.3">
      <c r="A100" s="4" t="s">
        <v>301</v>
      </c>
      <c r="B100" s="5" t="s">
        <v>302</v>
      </c>
      <c r="C100" s="5" t="s">
        <v>44</v>
      </c>
      <c r="D100" s="9" t="s">
        <v>371</v>
      </c>
      <c r="E100" s="7">
        <v>92000</v>
      </c>
      <c r="F100" s="5" t="s">
        <v>19</v>
      </c>
      <c r="G100" s="7">
        <v>0</v>
      </c>
      <c r="H100" s="5" t="s">
        <v>13</v>
      </c>
    </row>
    <row r="101" spans="1:8" x14ac:dyDescent="0.3">
      <c r="A101" s="4" t="s">
        <v>303</v>
      </c>
      <c r="B101" s="5" t="s">
        <v>304</v>
      </c>
      <c r="C101" s="5" t="s">
        <v>55</v>
      </c>
      <c r="D101" s="9" t="s">
        <v>371</v>
      </c>
      <c r="E101" s="7">
        <v>95000</v>
      </c>
      <c r="F101" s="5" t="s">
        <v>318</v>
      </c>
      <c r="G101" s="7">
        <v>0</v>
      </c>
      <c r="H101" s="5" t="s">
        <v>20</v>
      </c>
    </row>
  </sheetData>
  <sortState xmlns:xlrd2="http://schemas.microsoft.com/office/spreadsheetml/2017/richdata2" ref="K28:K127">
    <sortCondition descending="1" ref="K127"/>
  </sortState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72A71-BAD3-423B-AE25-A781FD48611D}">
  <dimension ref="A1:O89"/>
  <sheetViews>
    <sheetView workbookViewId="0"/>
  </sheetViews>
  <sheetFormatPr defaultRowHeight="13.8" x14ac:dyDescent="0.3"/>
  <cols>
    <col min="1" max="1" width="14.88671875" style="1" bestFit="1" customWidth="1"/>
    <col min="2" max="2" width="19.33203125" style="1" bestFit="1" customWidth="1"/>
    <col min="3" max="3" width="19" style="1" bestFit="1" customWidth="1"/>
    <col min="4" max="12" width="10.109375" style="1" bestFit="1" customWidth="1"/>
    <col min="13" max="13" width="38.88671875" style="1" bestFit="1" customWidth="1"/>
    <col min="14" max="14" width="12.44140625" style="1" bestFit="1" customWidth="1"/>
    <col min="15" max="54" width="10.109375" style="1" bestFit="1" customWidth="1"/>
    <col min="55" max="55" width="10.33203125" style="1" bestFit="1" customWidth="1"/>
    <col min="56" max="16384" width="8.88671875" style="1"/>
  </cols>
  <sheetData>
    <row r="1" spans="1:15" x14ac:dyDescent="0.3">
      <c r="A1" s="11" t="s">
        <v>373</v>
      </c>
      <c r="B1" s="1" t="s">
        <v>374</v>
      </c>
    </row>
    <row r="2" spans="1:15" x14ac:dyDescent="0.3">
      <c r="A2" s="12" t="s">
        <v>10</v>
      </c>
      <c r="B2" s="1">
        <v>32</v>
      </c>
      <c r="M2" s="1" t="s">
        <v>375</v>
      </c>
      <c r="N2" s="8">
        <f>SUM('Data After'!E2:E101)</f>
        <v>9696000</v>
      </c>
    </row>
    <row r="3" spans="1:15" x14ac:dyDescent="0.3">
      <c r="A3" s="12" t="s">
        <v>28</v>
      </c>
      <c r="B3" s="1">
        <v>28</v>
      </c>
      <c r="M3" s="1" t="s">
        <v>376</v>
      </c>
      <c r="N3" s="8" t="str" cm="1">
        <f t="array" ref="N3:O3">_xlfn.XLOOKUP(MAX('Data After'!E2:E101), 'Data After'!E2:E101, 'Data After'!B2:C101)</f>
        <v>Robert De Niro</v>
      </c>
      <c r="O3" s="1" t="str">
        <v>Marketing</v>
      </c>
    </row>
    <row r="4" spans="1:15" x14ac:dyDescent="0.3">
      <c r="A4" s="12" t="s">
        <v>44</v>
      </c>
      <c r="B4" s="1">
        <v>22</v>
      </c>
      <c r="M4" s="1" t="s">
        <v>379</v>
      </c>
      <c r="N4" s="8" t="str" cm="1">
        <f t="array" ref="N4:O4">_xlfn.XLOOKUP(MAX('Data After'!G2:G101), 'Data After'!G2:G101, 'Data After'!B2:C101)</f>
        <v>Robert De Niro</v>
      </c>
      <c r="O4" s="1" t="str">
        <v>Marketing</v>
      </c>
    </row>
    <row r="5" spans="1:15" x14ac:dyDescent="0.3">
      <c r="A5" s="12" t="s">
        <v>55</v>
      </c>
      <c r="B5" s="1">
        <v>18</v>
      </c>
      <c r="M5" s="1" t="s">
        <v>377</v>
      </c>
      <c r="N5" s="8">
        <f>AVERAGE('Data After'!E2:E101)</f>
        <v>96960</v>
      </c>
    </row>
    <row r="6" spans="1:15" x14ac:dyDescent="0.3">
      <c r="A6" s="12" t="s">
        <v>372</v>
      </c>
      <c r="B6" s="1">
        <v>100</v>
      </c>
      <c r="M6" s="1" t="s">
        <v>380</v>
      </c>
      <c r="N6" s="8">
        <f>SUM('Data After'!G2:G101)</f>
        <v>894800</v>
      </c>
    </row>
    <row r="7" spans="1:15" x14ac:dyDescent="0.3">
      <c r="M7" s="1" t="s">
        <v>382</v>
      </c>
      <c r="N7" s="1">
        <f>COUNT('Data After'!F2:F101)</f>
        <v>0</v>
      </c>
    </row>
    <row r="8" spans="1:15" x14ac:dyDescent="0.3">
      <c r="A8" s="11" t="s">
        <v>373</v>
      </c>
      <c r="B8" s="1" t="s">
        <v>378</v>
      </c>
      <c r="M8" s="10" t="s">
        <v>383</v>
      </c>
      <c r="N8" s="1" cm="1">
        <f t="array" ref="N8">SUM(--(RIGHT('Data After'!D2:D101, 4)="2024"))</f>
        <v>6</v>
      </c>
    </row>
    <row r="9" spans="1:15" x14ac:dyDescent="0.3">
      <c r="A9" s="12" t="s">
        <v>55</v>
      </c>
      <c r="B9" s="13">
        <v>126388.88888888889</v>
      </c>
    </row>
    <row r="10" spans="1:15" x14ac:dyDescent="0.3">
      <c r="A10" s="12" t="s">
        <v>44</v>
      </c>
      <c r="B10" s="13">
        <v>102818.18181818182</v>
      </c>
    </row>
    <row r="11" spans="1:15" x14ac:dyDescent="0.3">
      <c r="A11" s="12" t="s">
        <v>28</v>
      </c>
      <c r="B11" s="13">
        <v>95642.857142857145</v>
      </c>
    </row>
    <row r="12" spans="1:15" x14ac:dyDescent="0.3">
      <c r="A12" s="12" t="s">
        <v>10</v>
      </c>
      <c r="B12" s="13">
        <v>77531.25</v>
      </c>
    </row>
    <row r="13" spans="1:15" x14ac:dyDescent="0.3">
      <c r="A13" s="12" t="s">
        <v>372</v>
      </c>
      <c r="B13" s="13">
        <v>96960</v>
      </c>
    </row>
    <row r="15" spans="1:15" x14ac:dyDescent="0.3">
      <c r="A15" s="11" t="s">
        <v>373</v>
      </c>
      <c r="B15" s="1" t="s">
        <v>381</v>
      </c>
    </row>
    <row r="16" spans="1:15" x14ac:dyDescent="0.3">
      <c r="A16" s="12" t="s">
        <v>28</v>
      </c>
      <c r="B16" s="8">
        <v>531300</v>
      </c>
    </row>
    <row r="17" spans="1:2" x14ac:dyDescent="0.3">
      <c r="A17" s="12" t="s">
        <v>10</v>
      </c>
      <c r="B17" s="8">
        <v>363500</v>
      </c>
    </row>
    <row r="18" spans="1:2" x14ac:dyDescent="0.3">
      <c r="A18" s="12" t="s">
        <v>55</v>
      </c>
      <c r="B18" s="8">
        <v>0</v>
      </c>
    </row>
    <row r="19" spans="1:2" x14ac:dyDescent="0.3">
      <c r="A19" s="12" t="s">
        <v>44</v>
      </c>
      <c r="B19" s="8">
        <v>0</v>
      </c>
    </row>
    <row r="20" spans="1:2" x14ac:dyDescent="0.3">
      <c r="A20" s="12" t="s">
        <v>372</v>
      </c>
      <c r="B20" s="8">
        <v>894800</v>
      </c>
    </row>
    <row r="22" spans="1:2" x14ac:dyDescent="0.3">
      <c r="A22" s="11" t="s">
        <v>308</v>
      </c>
      <c r="B22" s="1" t="s">
        <v>384</v>
      </c>
    </row>
    <row r="23" spans="1:2" x14ac:dyDescent="0.3">
      <c r="A23" s="12" t="s">
        <v>335</v>
      </c>
      <c r="B23" s="1">
        <v>2</v>
      </c>
    </row>
    <row r="24" spans="1:2" x14ac:dyDescent="0.3">
      <c r="A24" s="12" t="s">
        <v>340</v>
      </c>
      <c r="B24" s="1">
        <v>2</v>
      </c>
    </row>
    <row r="25" spans="1:2" x14ac:dyDescent="0.3">
      <c r="A25" s="12" t="s">
        <v>330</v>
      </c>
      <c r="B25" s="1">
        <v>1</v>
      </c>
    </row>
    <row r="26" spans="1:2" x14ac:dyDescent="0.3">
      <c r="A26" s="12" t="s">
        <v>324</v>
      </c>
      <c r="B26" s="1">
        <v>3</v>
      </c>
    </row>
    <row r="27" spans="1:2" x14ac:dyDescent="0.3">
      <c r="A27" s="12" t="s">
        <v>344</v>
      </c>
      <c r="B27" s="1">
        <v>2</v>
      </c>
    </row>
    <row r="28" spans="1:2" x14ac:dyDescent="0.3">
      <c r="A28" s="12" t="s">
        <v>343</v>
      </c>
      <c r="B28" s="1">
        <v>1</v>
      </c>
    </row>
    <row r="29" spans="1:2" x14ac:dyDescent="0.3">
      <c r="A29" s="12" t="s">
        <v>357</v>
      </c>
      <c r="B29" s="1">
        <v>2</v>
      </c>
    </row>
    <row r="30" spans="1:2" x14ac:dyDescent="0.3">
      <c r="A30" s="12" t="s">
        <v>17</v>
      </c>
      <c r="B30" s="1">
        <v>1</v>
      </c>
    </row>
    <row r="31" spans="1:2" x14ac:dyDescent="0.3">
      <c r="A31" s="12" t="s">
        <v>369</v>
      </c>
      <c r="B31" s="1">
        <v>1</v>
      </c>
    </row>
    <row r="32" spans="1:2" x14ac:dyDescent="0.3">
      <c r="A32" s="12" t="s">
        <v>363</v>
      </c>
      <c r="B32" s="1">
        <v>2</v>
      </c>
    </row>
    <row r="33" spans="1:2" x14ac:dyDescent="0.3">
      <c r="A33" s="12" t="s">
        <v>365</v>
      </c>
      <c r="B33" s="1">
        <v>2</v>
      </c>
    </row>
    <row r="34" spans="1:2" x14ac:dyDescent="0.3">
      <c r="A34" s="12" t="s">
        <v>361</v>
      </c>
      <c r="B34" s="1">
        <v>2</v>
      </c>
    </row>
    <row r="35" spans="1:2" x14ac:dyDescent="0.3">
      <c r="A35" s="12" t="s">
        <v>351</v>
      </c>
      <c r="B35" s="1">
        <v>2</v>
      </c>
    </row>
    <row r="36" spans="1:2" x14ac:dyDescent="0.3">
      <c r="A36" s="12" t="s">
        <v>354</v>
      </c>
      <c r="B36" s="1">
        <v>3</v>
      </c>
    </row>
    <row r="37" spans="1:2" x14ac:dyDescent="0.3">
      <c r="A37" s="12" t="s">
        <v>362</v>
      </c>
      <c r="B37" s="1">
        <v>2</v>
      </c>
    </row>
    <row r="38" spans="1:2" x14ac:dyDescent="0.3">
      <c r="A38" s="12" t="s">
        <v>346</v>
      </c>
      <c r="B38" s="1">
        <v>2</v>
      </c>
    </row>
    <row r="39" spans="1:2" x14ac:dyDescent="0.3">
      <c r="A39" s="12" t="s">
        <v>331</v>
      </c>
      <c r="B39" s="1">
        <v>1</v>
      </c>
    </row>
    <row r="40" spans="1:2" x14ac:dyDescent="0.3">
      <c r="A40" s="12" t="s">
        <v>333</v>
      </c>
      <c r="B40" s="1">
        <v>2</v>
      </c>
    </row>
    <row r="41" spans="1:2" x14ac:dyDescent="0.3">
      <c r="A41" s="12" t="s">
        <v>326</v>
      </c>
      <c r="B41" s="1">
        <v>1</v>
      </c>
    </row>
    <row r="42" spans="1:2" x14ac:dyDescent="0.3">
      <c r="A42" s="12" t="s">
        <v>367</v>
      </c>
      <c r="B42" s="1">
        <v>2</v>
      </c>
    </row>
    <row r="43" spans="1:2" x14ac:dyDescent="0.3">
      <c r="A43" s="12" t="s">
        <v>323</v>
      </c>
      <c r="B43" s="1">
        <v>1</v>
      </c>
    </row>
    <row r="44" spans="1:2" x14ac:dyDescent="0.3">
      <c r="A44" s="12" t="s">
        <v>341</v>
      </c>
      <c r="B44" s="1">
        <v>2</v>
      </c>
    </row>
    <row r="45" spans="1:2" x14ac:dyDescent="0.3">
      <c r="A45" s="12" t="s">
        <v>320</v>
      </c>
      <c r="B45" s="1">
        <v>1</v>
      </c>
    </row>
    <row r="46" spans="1:2" x14ac:dyDescent="0.3">
      <c r="A46" s="12" t="s">
        <v>347</v>
      </c>
      <c r="B46" s="1">
        <v>2</v>
      </c>
    </row>
    <row r="47" spans="1:2" x14ac:dyDescent="0.3">
      <c r="A47" s="12" t="s">
        <v>360</v>
      </c>
      <c r="B47" s="1">
        <v>2</v>
      </c>
    </row>
    <row r="48" spans="1:2" x14ac:dyDescent="0.3">
      <c r="A48" s="12" t="s">
        <v>353</v>
      </c>
      <c r="B48" s="1">
        <v>3</v>
      </c>
    </row>
    <row r="49" spans="1:2" x14ac:dyDescent="0.3">
      <c r="A49" s="12" t="s">
        <v>364</v>
      </c>
      <c r="B49" s="1">
        <v>2</v>
      </c>
    </row>
    <row r="50" spans="1:2" x14ac:dyDescent="0.3">
      <c r="A50" s="12" t="s">
        <v>345</v>
      </c>
      <c r="B50" s="1">
        <v>2</v>
      </c>
    </row>
    <row r="51" spans="1:2" x14ac:dyDescent="0.3">
      <c r="A51" s="12" t="s">
        <v>366</v>
      </c>
      <c r="B51" s="1">
        <v>1</v>
      </c>
    </row>
    <row r="52" spans="1:2" x14ac:dyDescent="0.3">
      <c r="A52" s="12" t="s">
        <v>356</v>
      </c>
      <c r="B52" s="1">
        <v>2</v>
      </c>
    </row>
    <row r="53" spans="1:2" x14ac:dyDescent="0.3">
      <c r="A53" s="12" t="s">
        <v>337</v>
      </c>
      <c r="B53" s="1">
        <v>1</v>
      </c>
    </row>
    <row r="54" spans="1:2" x14ac:dyDescent="0.3">
      <c r="A54" s="12" t="s">
        <v>334</v>
      </c>
      <c r="B54" s="1">
        <v>2</v>
      </c>
    </row>
    <row r="55" spans="1:2" x14ac:dyDescent="0.3">
      <c r="A55" s="12" t="s">
        <v>352</v>
      </c>
      <c r="B55" s="1">
        <v>3</v>
      </c>
    </row>
    <row r="56" spans="1:2" x14ac:dyDescent="0.3">
      <c r="A56" s="12" t="s">
        <v>342</v>
      </c>
      <c r="B56" s="1">
        <v>2</v>
      </c>
    </row>
    <row r="57" spans="1:2" x14ac:dyDescent="0.3">
      <c r="A57" s="12" t="s">
        <v>336</v>
      </c>
      <c r="B57" s="1">
        <v>2</v>
      </c>
    </row>
    <row r="58" spans="1:2" x14ac:dyDescent="0.3">
      <c r="A58" s="12" t="s">
        <v>358</v>
      </c>
      <c r="B58" s="1">
        <v>2</v>
      </c>
    </row>
    <row r="59" spans="1:2" x14ac:dyDescent="0.3">
      <c r="A59" s="12" t="s">
        <v>348</v>
      </c>
      <c r="B59" s="1">
        <v>3</v>
      </c>
    </row>
    <row r="60" spans="1:2" x14ac:dyDescent="0.3">
      <c r="A60" s="12" t="s">
        <v>339</v>
      </c>
      <c r="B60" s="1">
        <v>2</v>
      </c>
    </row>
    <row r="61" spans="1:2" x14ac:dyDescent="0.3">
      <c r="A61" s="12" t="s">
        <v>329</v>
      </c>
      <c r="B61" s="1">
        <v>1</v>
      </c>
    </row>
    <row r="62" spans="1:2" x14ac:dyDescent="0.3">
      <c r="A62" s="12" t="s">
        <v>350</v>
      </c>
      <c r="B62" s="1">
        <v>2</v>
      </c>
    </row>
    <row r="63" spans="1:2" x14ac:dyDescent="0.3">
      <c r="A63" s="12" t="s">
        <v>322</v>
      </c>
      <c r="B63" s="1">
        <v>2</v>
      </c>
    </row>
    <row r="64" spans="1:2" x14ac:dyDescent="0.3">
      <c r="A64" s="12" t="s">
        <v>370</v>
      </c>
      <c r="B64" s="1">
        <v>2</v>
      </c>
    </row>
    <row r="65" spans="1:3" x14ac:dyDescent="0.3">
      <c r="A65" s="12" t="s">
        <v>359</v>
      </c>
      <c r="B65" s="1">
        <v>5</v>
      </c>
    </row>
    <row r="66" spans="1:3" x14ac:dyDescent="0.3">
      <c r="A66" s="12" t="s">
        <v>321</v>
      </c>
      <c r="B66" s="1">
        <v>2</v>
      </c>
    </row>
    <row r="67" spans="1:3" x14ac:dyDescent="0.3">
      <c r="A67" s="12" t="s">
        <v>338</v>
      </c>
      <c r="B67" s="1">
        <v>1</v>
      </c>
    </row>
    <row r="68" spans="1:3" x14ac:dyDescent="0.3">
      <c r="A68" s="12" t="s">
        <v>327</v>
      </c>
      <c r="B68" s="1">
        <v>2</v>
      </c>
    </row>
    <row r="69" spans="1:3" x14ac:dyDescent="0.3">
      <c r="A69" s="12" t="s">
        <v>371</v>
      </c>
      <c r="B69" s="1">
        <v>2</v>
      </c>
    </row>
    <row r="70" spans="1:3" x14ac:dyDescent="0.3">
      <c r="A70" s="12" t="s">
        <v>349</v>
      </c>
      <c r="B70" s="1">
        <v>2</v>
      </c>
    </row>
    <row r="71" spans="1:3" x14ac:dyDescent="0.3">
      <c r="A71" s="12" t="s">
        <v>325</v>
      </c>
      <c r="B71" s="1">
        <v>1</v>
      </c>
    </row>
    <row r="72" spans="1:3" x14ac:dyDescent="0.3">
      <c r="A72" s="12" t="s">
        <v>355</v>
      </c>
      <c r="B72" s="1">
        <v>3</v>
      </c>
    </row>
    <row r="73" spans="1:3" x14ac:dyDescent="0.3">
      <c r="A73" s="12" t="s">
        <v>328</v>
      </c>
      <c r="B73" s="1">
        <v>1</v>
      </c>
    </row>
    <row r="74" spans="1:3" x14ac:dyDescent="0.3">
      <c r="A74" s="12" t="s">
        <v>332</v>
      </c>
      <c r="B74" s="1">
        <v>2</v>
      </c>
    </row>
    <row r="75" spans="1:3" x14ac:dyDescent="0.3">
      <c r="A75" s="12" t="s">
        <v>368</v>
      </c>
      <c r="B75" s="1">
        <v>1</v>
      </c>
    </row>
    <row r="76" spans="1:3" x14ac:dyDescent="0.3">
      <c r="A76" s="12" t="s">
        <v>372</v>
      </c>
      <c r="B76" s="1">
        <v>100</v>
      </c>
    </row>
    <row r="78" spans="1:3" x14ac:dyDescent="0.3">
      <c r="A78" s="11" t="s">
        <v>311</v>
      </c>
      <c r="B78" s="1" t="s">
        <v>385</v>
      </c>
      <c r="C78" s="1" t="s">
        <v>386</v>
      </c>
    </row>
    <row r="79" spans="1:3" x14ac:dyDescent="0.3">
      <c r="A79" s="12" t="s">
        <v>20</v>
      </c>
      <c r="B79" s="14">
        <v>50</v>
      </c>
      <c r="C79" s="8">
        <v>485200</v>
      </c>
    </row>
    <row r="80" spans="1:3" x14ac:dyDescent="0.3">
      <c r="A80" s="15" t="s">
        <v>28</v>
      </c>
      <c r="B80" s="14">
        <v>16</v>
      </c>
      <c r="C80" s="8">
        <v>352000</v>
      </c>
    </row>
    <row r="81" spans="1:3" x14ac:dyDescent="0.3">
      <c r="A81" s="15" t="s">
        <v>55</v>
      </c>
      <c r="B81" s="14">
        <v>15</v>
      </c>
      <c r="C81" s="8">
        <v>0</v>
      </c>
    </row>
    <row r="82" spans="1:3" x14ac:dyDescent="0.3">
      <c r="A82" s="15" t="s">
        <v>10</v>
      </c>
      <c r="B82" s="14">
        <v>11</v>
      </c>
      <c r="C82" s="8">
        <v>133200</v>
      </c>
    </row>
    <row r="83" spans="1:3" x14ac:dyDescent="0.3">
      <c r="A83" s="15" t="s">
        <v>44</v>
      </c>
      <c r="B83" s="14">
        <v>8</v>
      </c>
      <c r="C83" s="8">
        <v>0</v>
      </c>
    </row>
    <row r="84" spans="1:3" x14ac:dyDescent="0.3">
      <c r="A84" s="12" t="s">
        <v>13</v>
      </c>
      <c r="B84" s="14">
        <v>50</v>
      </c>
      <c r="C84" s="8">
        <v>409600</v>
      </c>
    </row>
    <row r="85" spans="1:3" x14ac:dyDescent="0.3">
      <c r="A85" s="15" t="s">
        <v>10</v>
      </c>
      <c r="B85" s="14">
        <v>21</v>
      </c>
      <c r="C85" s="8">
        <v>230300</v>
      </c>
    </row>
    <row r="86" spans="1:3" x14ac:dyDescent="0.3">
      <c r="A86" s="15" t="s">
        <v>44</v>
      </c>
      <c r="B86" s="14">
        <v>14</v>
      </c>
      <c r="C86" s="8">
        <v>0</v>
      </c>
    </row>
    <row r="87" spans="1:3" x14ac:dyDescent="0.3">
      <c r="A87" s="15" t="s">
        <v>28</v>
      </c>
      <c r="B87" s="14">
        <v>12</v>
      </c>
      <c r="C87" s="8">
        <v>179300</v>
      </c>
    </row>
    <row r="88" spans="1:3" x14ac:dyDescent="0.3">
      <c r="A88" s="15" t="s">
        <v>55</v>
      </c>
      <c r="B88" s="14">
        <v>3</v>
      </c>
      <c r="C88" s="8">
        <v>0</v>
      </c>
    </row>
    <row r="89" spans="1:3" x14ac:dyDescent="0.3">
      <c r="A89" s="12" t="s">
        <v>372</v>
      </c>
      <c r="B89" s="14">
        <v>100</v>
      </c>
      <c r="C89" s="8">
        <v>894800</v>
      </c>
    </row>
  </sheetData>
  <pageMargins left="0.7" right="0.7" top="0.75" bottom="0.75" header="0.3" footer="0.3"/>
  <pageSetup orientation="portrait" r:id="rId6"/>
  <drawing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Before</vt:lpstr>
      <vt:lpstr>Data After</vt:lpstr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Mohamed Khaled</cp:lastModifiedBy>
  <cp:revision>0</cp:revision>
  <dcterms:modified xsi:type="dcterms:W3CDTF">2026-02-06T22:08:56Z</dcterms:modified>
  <dc:language>en-US</dc:language>
</cp:coreProperties>
</file>